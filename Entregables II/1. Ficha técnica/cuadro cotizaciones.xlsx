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4"/>
    <sheet state="visible" name="Monitor Admin (3)" sheetId="2" r:id="rId5"/>
    <sheet state="visible" name="Disco solido (2)" sheetId="3" r:id="rId6"/>
    <sheet state="visible" name="Memoria ram" sheetId="4" r:id="rId7"/>
    <sheet state="visible" name="Tarjeta madre" sheetId="5" r:id="rId8"/>
    <sheet state="visible" name="Procesardor " sheetId="6" r:id="rId9"/>
    <sheet state="visible" name="Fuente de poder" sheetId="7" r:id="rId10"/>
    <sheet state="visible" name="Teclado y mouse" sheetId="8" r:id="rId11"/>
    <sheet state="visible" name="Licencia de sistema operativo" sheetId="9" r:id="rId12"/>
    <sheet state="visible" name="Suite de oficina" sheetId="10" r:id="rId13"/>
    <sheet state="visible" name="Antivirus" sheetId="11" r:id="rId14"/>
    <sheet state="visible" name="Resumen" sheetId="12" r:id="rId15"/>
  </sheets>
  <definedNames/>
  <calcPr/>
  <extLst>
    <ext uri="GoogleSheetsCustomDataVersion2">
      <go:sheetsCustomData xmlns:go="http://customooxmlschemas.google.com/" r:id="rId16" roundtripDataChecksum="TLH30NJeMX/+ftIviLTbu0zRXB139sYnVOvnbu90VlQ="/>
    </ext>
  </extLst>
</workbook>
</file>

<file path=xl/sharedStrings.xml><?xml version="1.0" encoding="utf-8"?>
<sst xmlns="http://schemas.openxmlformats.org/spreadsheetml/2006/main" count="416" uniqueCount="268">
  <si>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</si>
  <si>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</si>
  <si>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</si>
  <si>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</si>
  <si>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</si>
  <si>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</si>
  <si>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</si>
  <si>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</si>
  <si>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</si>
  <si>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</si>
  <si>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</si>
  <si>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</si>
  <si>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</si>
  <si>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Mercado Libre</t>
  </si>
  <si>
    <t>https://www.mercadolibre.com.co/</t>
  </si>
  <si>
    <t>Torre Cpu Dell Intel Core I5 7ma Gen Ram Ddr4 24gb Ssd 480gb 480 Gb 24 Gb Intelr Hd Graphics 630</t>
  </si>
  <si>
    <t>USD 248.50</t>
  </si>
  <si>
    <t>Contado</t>
  </si>
  <si>
    <t xml:space="preserve">Computador  al mejor precio del mercado con componentes basicos para el funcionamiento </t>
  </si>
  <si>
    <t xml:space="preserve">Nº2 </t>
  </si>
  <si>
    <t xml:space="preserve">Pc-Ware </t>
  </si>
  <si>
    <t xml:space="preserve"> https://www.pcware.com.co/?srsltid=AfmBOoqhncMmQM0FcDsxv2vGiXrzPcMqqjpP8SGlO1BbFEMDZjQQNsrp</t>
  </si>
  <si>
    <t xml:space="preserve">  AeroCool Hoja-G-BK-v1/ RGB Lighting/ Soporta ATX, Micro ATX y Mini-ITX/ Vidrio Templado/ Black</t>
  </si>
  <si>
    <t>USD 93.20</t>
  </si>
  <si>
    <t xml:space="preserve">Torre de calidad media para la incorporacion de componentes </t>
  </si>
  <si>
    <t>Nº 3</t>
  </si>
  <si>
    <t>TigerTech</t>
  </si>
  <si>
    <t>https://tigercomputadores.com/?srsltid=AfmBOorJZlRERP-hQN1gPKd5ZVE5yUrKy3J_wfi3gQWTxJ_Ivx9VU-n8</t>
  </si>
  <si>
    <t>ICEBERG CRISTAL G9 V3 ATX 3 FANS</t>
  </si>
  <si>
    <t xml:space="preserve">  USD 90.10                               </t>
  </si>
  <si>
    <t xml:space="preserve">Torre de calidad baja para la incorporacion de componentes </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</si>
  <si>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</si>
  <si>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</si>
  <si>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</si>
  <si>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</si>
  <si>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</si>
  <si>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</si>
  <si>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</si>
  <si>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</si>
  <si>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</si>
  <si>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</si>
  <si>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onitor-dahua-de-215-pulgadas-100hz-hdmi-vga-marco-ultra-delgado-fullhd-178-grados-de-visualizacion/p/MCO20919023?pdp_filters=item_id%3AMCO2987893444&amp;pdp_filters=seller_id%3A25722381#polycard_client%3Drecommendations_recoview-selleritems-eshops%26reco_backend%3Dsame-seller-odin%26wid%3DMCO2987893444%26reco_client%3Drecoview-selleritems-eshops%26reco_item_pos%3D0%26reco_backend_type%3Dlow_level%26reco_id%3Daf6bd9a7-a901-47c7-9c5e-61273118e109%26sid%3Drecos%26tracking_id%3Dad3bb91e-7daf-456d-8ce1-9f93c2bade9a%26source%3Deshops%26seller_id%3D25722381%26category_id%3DMCO1656</t>
  </si>
  <si>
    <t>Monitor Dahua De 21.5 Pulgadas 100Hz Hdmi &amp; Vga Marco Ultra Delgado Fullhd 178 Grados De Visualización</t>
  </si>
  <si>
    <t>USD 93.03</t>
  </si>
  <si>
    <t>Es un Monitor economico que cumple con los requisitos</t>
  </si>
  <si>
    <t>Pc-Ware</t>
  </si>
  <si>
    <t>https://www.pcware.com.co/samsung-s19a330nhl-19-pulgadas-tn-hd-1366-x768-720p-vga-hdmi-vesa-flickerfree-5ms-60-hz-plano-ls19a330nhlxzl</t>
  </si>
  <si>
    <t>Samsung S19A330NHL 19″ Pulgadas TN/HD 1366 x768/ 720p/VGA/HDMI/VESA/FlickerFree/5ms/ 60 Hz/Plano- LS19A330NHLXZL</t>
  </si>
  <si>
    <t>USD 114.45</t>
  </si>
  <si>
    <t>Es un Monitor que cumple con los requisitos</t>
  </si>
  <si>
    <t>https://tigercomputadores.com/producto/monitor-janus-22-1080-75hz-fhd/</t>
  </si>
  <si>
    <t>MONITOR JANUS 22 1080 75HZ FHD</t>
  </si>
  <si>
    <t>USD 105.43</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</si>
  <si>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</si>
  <si>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</si>
  <si>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</si>
  <si>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</si>
  <si>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</si>
  <si>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</si>
  <si>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</si>
  <si>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</si>
  <si>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</si>
  <si>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</si>
  <si>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disco-solido-ssd-interno-adata-ultimate-su650-asu650ss-512gt-r-512gb/p/MCO35339869?pdp_filters=item_id:MCO2329119764#is_advertising=true&amp;searchVariation=MCO35339869&amp;backend_model=search-backend&amp;position=1&amp;search_layout=grid&amp;type=pad&amp;tracking_id=fc23bfd2-80bb-4713-a7ad-27b9afa111c1&amp;ad_domain=VQCATCORE_LST&amp;ad_position=1&amp;ad_click_id=MjgzZDAwN2UtZTdjMS00MTI3LWFmZmItNzIxYjdkOTMyOGI4</t>
  </si>
  <si>
    <t xml:space="preserve">Disco sólido SSD interno Adata Ultimate SU650 ASU650SS-512GT-R 512GB
</t>
  </si>
  <si>
    <t>USD 52.12</t>
  </si>
  <si>
    <t>Es un disco solido economico,que cumple con los requisitos</t>
  </si>
  <si>
    <t>https://www.pcware.com.co/kingston-480-gb-ssd-sata-2-5-pulgadas-rev-3-0-sa400s37-480g</t>
  </si>
  <si>
    <t>Kingston 480 GB SSD SATA/2.5 Pulgadas/rev 3.0-SA400S37/480G</t>
  </si>
  <si>
    <t>USD 78.17</t>
  </si>
  <si>
    <t>Es un Disco solido de alta  calidad que cumple con los requisitos</t>
  </si>
  <si>
    <t>https://tigercomputadores.com/producto/disco-ssd-1tb-kingspec-sata/</t>
  </si>
  <si>
    <t xml:space="preserve">DISCO SSD 1TB KINGSPEC SATA
</t>
  </si>
  <si>
    <t>USD 70.36</t>
  </si>
  <si>
    <t>Es un disco solido con gran capacidad que cumple con los requisitos</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</si>
  <si>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</si>
  <si>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</si>
  <si>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</si>
  <si>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</si>
  <si>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</si>
  <si>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</si>
  <si>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</si>
  <si>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</si>
  <si>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</si>
  <si>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</si>
  <si>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emoria-ram-kingston-fury-impact-ddr4-16gb-3200-mhz-modelo-kf432s20ib16/p/MCO18931517?pdp_filters=item_id:MCO3304709330#is_advertising=true&amp;searchVariation=MCO18931517&amp;backend_model=search-backend&amp;position=1&amp;search_layout=grid&amp;type=pad&amp;tracking_id=585249ca-4b81-45cf-af3e-55a1e1b7c27b&amp;ad_domain=VQCATCORE_LST&amp;ad_position=1&amp;ad_click_id=NjdlOWIyMjctOWE2YS00ODZmLWExMzktNGE5NWU2MDJjMGYy</t>
  </si>
  <si>
    <t xml:space="preserve">Memoria Ram Kingston Fury Impact Ddr4 16gb 3200 MHz Modelo KF432S20IB/16
</t>
  </si>
  <si>
    <t>USD 100.06</t>
  </si>
  <si>
    <t>Es un memoria ram economica,que cumple con los requisitos</t>
  </si>
  <si>
    <t>Kingston 8 GB DDR4 2666 MT SODIMM/s Non-ECC Unbuffered CL19 1Rx8 1.2V 260-pin 8Gbit-KVR26S19S8/8 |pcware.com.co</t>
  </si>
  <si>
    <t>Kingston 8 GB DDR4 2666 MT SODIMM/s Non-ECC Unbuffered CL19 1Rx8 1.2V 260-pin 8Gbit-KVR26S19S8/8</t>
  </si>
  <si>
    <t>USD 62.05</t>
  </si>
  <si>
    <t>Es un memoria ram ,que cumple con los requisitos</t>
  </si>
  <si>
    <t>https://tigercomputadores.com/producto/memoria-ram-sodimm-8gb-ddr4-3200-crucial/</t>
  </si>
  <si>
    <t>MEMORIA RAM SODIMM 8GB DDR4 3200 CRUCIAL</t>
  </si>
  <si>
    <t>USD 52.44</t>
  </si>
  <si>
    <t>Es un memoria ram de buea calidad ,que cumple con los requisitos</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</si>
  <si>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</si>
  <si>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</si>
  <si>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</si>
  <si>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</si>
  <si>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</si>
  <si>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</si>
  <si>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</si>
  <si>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</si>
  <si>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</si>
  <si>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</si>
  <si>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https://www.mercadolibre.com.co/mb-asrock-h370m-hdv-ddr4-lga-1151-color-negro/p/MCO24574867#polycard_client=search-nordic&amp;search_layout=grid&amp;position=6&amp;type=product&amp;tracking_id=97f77305-112d-4f02-a2a2-065487622207&amp;wid=MCO1804016780&amp;sid=search</t>
  </si>
  <si>
    <t>Mb Asrock H370m-hdv Ddr4 Lga 1151 Color Negro</t>
  </si>
  <si>
    <t>Es una tarjeta madre economica,que cumple con los requisitos</t>
  </si>
  <si>
    <r>
      <rPr>
        <u/>
      </rPr>
      <t>GIGABYTE B450 AORUS M/Ryzen AM4/Micro ATX/M.2 Thermal Guard/HDMI/DVI/USB 3.1 Gen 2/DDR4</t>
    </r>
  </si>
  <si>
    <t>GIGABYTE B450 AORUS M/Ryzen AM4/Micro ATX/M.2 Thermal Guard/HDMI/DVI/USB 3.1 Gen 2/DDR4</t>
  </si>
  <si>
    <t>Es una tarjeta madre, que cumple con los requisitos</t>
  </si>
  <si>
    <r>
      <rPr>
        <u/>
      </rPr>
      <t>MOTHER GIGABYTE B450M AORUS ELITE DDR4 AM4 - TigerTech</t>
    </r>
  </si>
  <si>
    <t>MOTHER GIGABYTE B450M AORUS ELITE DDR4 AM4</t>
  </si>
  <si>
    <t>Es una tarjeta madre de buena calidad ,que cumple con los requisitos</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</si>
  <si>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</si>
  <si>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</si>
  <si>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</si>
  <si>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</si>
  <si>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</si>
  <si>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</si>
  <si>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</si>
  <si>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</si>
  <si>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</si>
  <si>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</si>
  <si>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procesador-intel-core-i3-10100-bx8070110100-de-4-nucleos-y-43ghz-de-frecuencia-con-grafica-integrada/p/MCO15915916#polycard_client=search-nordic&amp;search_layout=grid&amp;position=20&amp;type=product&amp;tracking_id=b48a02d1-3720-4cfc-91fc-e915aeed302c&amp;wid=MCO1164805894&amp;sid=search</t>
  </si>
  <si>
    <t>Procesador Intel Core i3-10100 BX8070110100 de 4 núcleos y 4.3GHz de frecuencia con gráfica integrada</t>
  </si>
  <si>
    <t>Es un procesador economica,que cumple con los requisitos</t>
  </si>
  <si>
    <r>
      <rPr>
        <u/>
      </rPr>
      <t>AMD Ryzen 5 5600G Cezanne 6-Core 3.9 GHz AM4 65W/Desktop Processor AMD Radeon Graphics-100-100000252BOX</t>
    </r>
  </si>
  <si>
    <t>AMD Ryzen 5 5600G Cezanne 6-Core 3.9 GHz AM4 65W/Desktop Processor AMD Radeon Graphics-100-100000252BOX</t>
  </si>
  <si>
    <t>Es un procesador de buena calidad ,que cumple con los requisitos</t>
  </si>
  <si>
    <t>https://tigercomputadores.com/producto/procesador-intel-core-i3-10100-lga1200/</t>
  </si>
  <si>
    <t>PROCESADOR INTEL CORE I3 10100 LGA1200</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</si>
  <si>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</si>
  <si>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</si>
  <si>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</si>
  <si>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</si>
  <si>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</si>
  <si>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</si>
  <si>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</si>
  <si>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</si>
  <si>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</si>
  <si>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</si>
  <si>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u/>
      </rPr>
      <t>Fuente De Poder Iceberg Gaming 700-bx 700w 80 Plus Bronce Color Negro | Cuotas sin interés</t>
    </r>
  </si>
  <si>
    <t>Fuente De Poder Iceberg Gaming 700-bx 700w 80 Plus Bronce Color Negro</t>
  </si>
  <si>
    <t>Es una fuente de poder economica,que cumple con los requisitos</t>
  </si>
  <si>
    <r>
      <rPr>
        <u/>
      </rPr>
      <t>Comprar Corsair CV650 650W/80 Plus Bronze-CP-9020236-NA | PcWare</t>
    </r>
  </si>
  <si>
    <t>Corsair CV650 650W/80 Plus Bronze-CP-9020236-NA</t>
  </si>
  <si>
    <t>Es una fuente de poder ,que cumple con los requisitos</t>
  </si>
  <si>
    <r>
      <rPr>
        <u/>
      </rPr>
      <t>FUENTE AEROCOOL 750W DORADO 80 GOLD RGB - TigerTech</t>
    </r>
  </si>
  <si>
    <t>FUENTE AEROCOOL 750W DORADO 80 GOLD RGB</t>
  </si>
  <si>
    <t>Es una fuente de poder de buena calidad ,que cumple con los requisitos</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</si>
  <si>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</si>
  <si>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</si>
  <si>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</si>
  <si>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</si>
  <si>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</si>
  <si>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</si>
  <si>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</si>
  <si>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</si>
  <si>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</si>
  <si>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</si>
  <si>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u/>
      </rPr>
      <t>Combo Teclado Y Mouse Alámbrico Negro USB H-8810 | Cuotas sin interés</t>
    </r>
  </si>
  <si>
    <t>Combo Teclado Y Mouse Alámbrico Negro USB H-8810</t>
  </si>
  <si>
    <t>Es un combo de teclado y mouse economica,que cumple con los requisitos</t>
  </si>
  <si>
    <r>
      <rPr>
        <u/>
      </rPr>
      <t>Redragon K552RGB-BA-SP KIT Teclado mecánico Kumara/ Switch Azul/ RGB/ 100% anti-ghosting/ Mouse Griffin M607/ Sensor Pixart P3212 Optico/ DPI 600-7200/ Switch Omron/ Negro</t>
    </r>
  </si>
  <si>
    <t>Redragon K552RGB-BA-SP KIT Teclado mecánico Kumara/ Switch Azul/ RGB/ 100% anti-ghosting/ Mouse Griffin M607/ Sensor Pixart P3212 Optico/ DPI 600-7200/ Switch Omron/ Negro</t>
  </si>
  <si>
    <t>Es un combo de teclado y mouse de uena calidad ,que cumple con los requisitos</t>
  </si>
  <si>
    <r>
      <rPr>
        <u/>
      </rPr>
      <t>COMBO TECLADO Y MOUSE JYR CTMIJR-011 WIRELESS NEGRO - TigerTech</t>
    </r>
  </si>
  <si>
    <t>COMBO TECLADO Y MOUSE JYR CTMIJR-011 WIRELESS NEGRO</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</si>
  <si>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</si>
  <si>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</si>
  <si>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</si>
  <si>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</si>
  <si>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</si>
  <si>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</si>
  <si>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</si>
  <si>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</si>
  <si>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</si>
  <si>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</si>
  <si>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Tulicencia</t>
  </si>
  <si>
    <t>https://tulicencias.com/product/windows-11-pro/?currency=COP&amp;gad_campaignid=22950947926</t>
  </si>
  <si>
    <t>Windows 11 Pro</t>
  </si>
  <si>
    <t>Licencia de Windows 11 Pro, con un precio accecible</t>
  </si>
  <si>
    <t>https://tulicencias.com/product/windows-10-pro/?currency=COP&amp;gad_campaignid=22950947926</t>
  </si>
  <si>
    <t>Windows 10 Pro</t>
  </si>
  <si>
    <t>Licencia de Windows 10 Pro, con un precio accecible</t>
  </si>
  <si>
    <t>estilosmyf</t>
  </si>
  <si>
    <t>https://estilosmyf.com/software/154-windows-11-pro-licencia-digital-llave-de-activacion.html?gad_campaignid=22416829194</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</si>
  <si>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</si>
  <si>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</si>
  <si>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</si>
  <si>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</si>
  <si>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</si>
  <si>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</si>
  <si>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</si>
  <si>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</si>
  <si>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</si>
  <si>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</si>
  <si>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https://estilosmyf.com/software/203-microsoft-office-pro-plus-2024-licencia-digital.html?gad_campaignid=22416829194</t>
  </si>
  <si>
    <t>Microsoft Office Pro Plus 2024</t>
  </si>
  <si>
    <t>Suite de oficina de Microsoft con todas las herramientas necesarias</t>
  </si>
  <si>
    <t>Licencias Di</t>
  </si>
  <si>
    <t>https://licenciasdigitales.cl/product/office-2024-professional-plus-permanente/?wmc-currency=COP&amp;gad_campaignid=23067900843</t>
  </si>
  <si>
    <t>Office 2024 LTSC Professional Plus</t>
  </si>
  <si>
    <t>Tulicencias</t>
  </si>
  <si>
    <t>https://tulicencias.com/product/microsoft-office-2024-professional-plus/?currency=COP&amp;gad_campaignid=22784019530</t>
  </si>
  <si>
    <t>Microsoft Office 2024 Professional Plus</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</si>
  <si>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</si>
  <si>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</si>
  <si>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</si>
  <si>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</si>
  <si>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</si>
  <si>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</si>
  <si>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</si>
  <si>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</si>
  <si>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</si>
  <si>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</si>
  <si>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Bitdefender</t>
  </si>
  <si>
    <t>https://www.bitdefender.com/pages/consumer/es/new/tsav?locale=es-co&amp;vcampaign=BBF25&amp;cid=ppc|c|google|60off&amp;gad_campaignid=19657650931</t>
  </si>
  <si>
    <t>Bitdefender
Antivirus Plus</t>
  </si>
  <si>
    <t>Antivirus que permite utilizarse en 3 dispositivos</t>
  </si>
  <si>
    <t>Kaspersky</t>
  </si>
  <si>
    <t>https://latam.kaspersky.com/lp/special-offer?gad_campaignid=21900761892</t>
  </si>
  <si>
    <t>Kaspersky Standard</t>
  </si>
  <si>
    <t>Avira</t>
  </si>
  <si>
    <t>https://www.avira.com/es</t>
  </si>
  <si>
    <t>Avira prime</t>
  </si>
  <si>
    <t>Antivirus que permite utilizarse hasta en 5 dispositivos</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</si>
  <si>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</si>
  <si>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</si>
  <si>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Resumen</t>
  </si>
  <si>
    <t>Componente</t>
  </si>
  <si>
    <t>Proveedor seleccionado</t>
  </si>
  <si>
    <t>Producto / Descripción</t>
  </si>
  <si>
    <t>Precio total con IVA (COP)</t>
  </si>
  <si>
    <t>Precio unitario aproximado</t>
  </si>
  <si>
    <t>Observaciones importantes</t>
  </si>
  <si>
    <t>Torre / Case</t>
  </si>
  <si>
    <t>Mejor precio para case básico con ventiladores</t>
  </si>
  <si>
    <t>Monitor</t>
  </si>
  <si>
    <t>Monitor Dahua 21.5" 100Hz Full HD HDMI &amp; VGA</t>
  </si>
  <si>
    <t>Más económico y cumple specs mínimas</t>
  </si>
  <si>
    <t>Disco sólido</t>
  </si>
  <si>
    <t>SSD Adata Ultimate SU650 512GB</t>
  </si>
  <si>
    <t>Mejor relación precio/capacidad</t>
  </si>
  <si>
    <t>Memoria RAM</t>
  </si>
  <si>
    <t>Opción más barata para 8GB min; para 16GB</t>
  </si>
  <si>
    <t>Tarjeta madre</t>
  </si>
  <si>
    <t>GIGABYTE B450 AORUS M (AM4, Micro ATX)</t>
  </si>
  <si>
    <t>Más económica y versátil para AMD</t>
  </si>
  <si>
    <t>Procesador</t>
  </si>
  <si>
    <t>Intel Core i3-10100 (4 núcleos, 4.3 GHz, LGA1200)</t>
  </si>
  <si>
    <t>Mejor precio para i3; nota: incompatible con boards AM4, requiere board LGA1200</t>
  </si>
  <si>
    <t>Combo teclado + mouse</t>
  </si>
  <si>
    <t>Precio imbatible para básicos</t>
  </si>
  <si>
    <t>Fuente de poder</t>
  </si>
  <si>
    <t>Fuente De Poder Iceberg Gaming 700W 80 Plus Bronze</t>
  </si>
  <si>
    <t>Mejor precio para potencia adecuada</t>
  </si>
  <si>
    <t>Licencia de sistema operativo</t>
  </si>
  <si>
    <t>Opcion mas economica</t>
  </si>
  <si>
    <t>Suite de oficina</t>
  </si>
  <si>
    <t>Precio más bajo para suite completa</t>
  </si>
  <si>
    <t>Antivirus</t>
  </si>
  <si>
    <t>Bitdefender Antivirus Plus</t>
  </si>
  <si>
    <t>Opción económica para 3 dispositivos</t>
  </si>
  <si>
    <t>Precio Total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</si>
</sst>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240A]\ * #,##0.00_-;\-[$$-240A]\ * #,##0.00_-;_-[$$-240A]\ * &quot;-&quot;??_-;_-@"/>
    <numFmt numFmtId="165" formatCode="_([$$-409]* #,##0.00_);_([$$-409]* \(#,##0.00\);_([$$-409]* &quot;-&quot;??_);_(@_)"/>
    <numFmt numFmtId="166" formatCode="_-[$$-409]* #,##0.00_ ;_-[$$-409]* \-#,##0.00\ ;_-[$$-409]* &quot;-&quot;??_ ;_-@_ "/>
    <numFmt numFmtId="167" formatCode="#,##0.00\ [$€-1]"/>
    <numFmt numFmtId="168" formatCode="[$$]#,##0.00"/>
    <numFmt numFmtId="169" formatCode="[$ $]#,##0"/>
  </numFmts>
  <fonts count="35">
    <font>
      <sz val="11.0"/>
      <color theme="1"/>
      <name val="Aptos Narrow"/>
      <scheme val="minor"/>
    </font>
    <font>
      <sz val="11.0"/>
      <color theme="1"/>
      <name val="Aptos Narrow"/>
    </font>
    <font>
      <b/>
      <sz val="12.0"/>
      <color theme="1"/>
      <name val="Arial"/>
    </font>
    <font/>
    <font>
      <b/>
      <sz val="10.0"/>
      <color theme="1"/>
      <name val="Arial"/>
    </font>
    <font>
      <b/>
      <sz val="10.0"/>
      <color theme="1"/>
      <name val="Trebuchet MS"/>
    </font>
    <font>
      <b/>
      <u/>
      <sz val="10.0"/>
      <color theme="1"/>
      <name val="Trebuchet MS"/>
    </font>
    <font>
      <sz val="10.0"/>
      <color rgb="FF000000"/>
      <name val="Trebuchet MS"/>
    </font>
    <font>
      <u/>
      <sz val="11.0"/>
      <color theme="10"/>
      <name val="Aptos Narrow"/>
    </font>
    <font>
      <u/>
      <sz val="10.0"/>
      <color rgb="FF000000"/>
      <name val="Trebuchet MS"/>
    </font>
    <font>
      <sz val="10.0"/>
      <color theme="1"/>
      <name val="Trebuchet MS"/>
    </font>
    <font>
      <sz val="10.0"/>
      <color theme="1"/>
      <name val="Proxima Nova"/>
    </font>
    <font>
      <sz val="10.0"/>
      <color rgb="FF231F20"/>
      <name val="Trebuchet MS"/>
    </font>
    <font>
      <sz val="10.0"/>
      <color rgb="FF3C4B71"/>
      <name val="Aptos Narrow"/>
    </font>
    <font>
      <sz val="10.0"/>
      <color theme="1"/>
      <name val="Open Sans"/>
    </font>
    <font>
      <sz val="10.0"/>
      <color rgb="FF222222"/>
      <name val="Inherit"/>
    </font>
    <font>
      <sz val="10.0"/>
      <color theme="1"/>
      <name val="Montserrat"/>
    </font>
    <font>
      <sz val="10.0"/>
      <color theme="1"/>
      <name val="Arial"/>
    </font>
    <font>
      <u/>
      <sz val="11.0"/>
      <color theme="10"/>
      <name val="Aptos Narrow"/>
    </font>
    <font>
      <u/>
      <color rgb="FF0000FF"/>
      <name val="Arial"/>
    </font>
    <font>
      <u/>
      <sz val="11.0"/>
      <color theme="10"/>
      <name val="Aptos Narrow"/>
    </font>
    <font>
      <sz val="10.0"/>
      <color rgb="FF000000"/>
      <name val="Arial"/>
    </font>
    <font>
      <u/>
      <sz val="11.0"/>
      <color rgb="FF0000FF"/>
      <name val="Arial"/>
    </font>
    <font>
      <sz val="10.0"/>
      <color rgb="FF000000"/>
      <name val="Proxima Nova"/>
    </font>
    <font>
      <u/>
      <color rgb="FF0000FF"/>
    </font>
    <font>
      <sz val="10.0"/>
      <color rgb="FF3C4B71"/>
      <name val="Proxima Nova"/>
    </font>
    <font>
      <sz val="10.0"/>
      <color rgb="FF000B30"/>
      <name val="Proxima Nova"/>
    </font>
    <font>
      <u/>
      <color rgb="FF0000FF"/>
    </font>
    <font>
      <u/>
      <color rgb="FF0000FF"/>
      <name val="Arial"/>
    </font>
    <font>
      <b/>
      <u/>
      <sz val="10.0"/>
      <color theme="1"/>
      <name val="Trebuchet MS"/>
    </font>
    <font>
      <u/>
      <color rgb="FF467886"/>
      <name val="Arial"/>
    </font>
    <font>
      <b/>
      <color theme="1"/>
      <name val="Arial"/>
    </font>
    <font>
      <b/>
      <color theme="1"/>
      <name val="Aptos Narrow"/>
      <scheme val="minor"/>
    </font>
    <font>
      <color theme="1"/>
      <name val="Aptos Narrow"/>
      <scheme val="minor"/>
    </font>
    <font>
      <color theme="1"/>
      <name val="Arial"/>
    </font>
  </fonts>
  <fills count="11">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7F8FA"/>
        <bgColor rgb="FFF7F8FA"/>
      </patternFill>
    </fill>
    <fill>
      <patternFill patternType="solid">
        <fgColor rgb="FFEA9999"/>
        <bgColor rgb="FFEA9999"/>
      </patternFill>
    </fill>
    <fill>
      <patternFill patternType="solid">
        <fgColor rgb="FFFFFF00"/>
        <bgColor rgb="FFFFFF00"/>
      </patternFill>
    </fill>
    <fill>
      <patternFill patternType="solid">
        <fgColor rgb="FFFFD966"/>
        <bgColor rgb="FFFFD966"/>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4" fillId="0" fontId="4" numFmtId="0" xfId="0" applyAlignment="1" applyBorder="1" applyFont="1">
      <alignment horizontal="center" vertical="center"/>
    </xf>
    <xf borderId="4" fillId="0" fontId="7"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6" fontId="1" numFmtId="0" xfId="0" applyAlignment="1" applyBorder="1" applyFill="1" applyFont="1">
      <alignment horizontal="center" shrinkToFit="0" vertical="center" wrapText="1"/>
    </xf>
    <xf borderId="4" fillId="0" fontId="7" numFmtId="164" xfId="0" applyAlignment="1" applyBorder="1" applyFont="1" applyNumberFormat="1">
      <alignment horizontal="center" shrinkToFit="0" vertical="center" wrapText="1"/>
    </xf>
    <xf borderId="4" fillId="0" fontId="7" numFmtId="165" xfId="0" applyAlignment="1" applyBorder="1" applyFont="1" applyNumberFormat="1">
      <alignment horizontal="center" shrinkToFit="0" vertical="center" wrapText="1"/>
    </xf>
    <xf borderId="4" fillId="0" fontId="9" numFmtId="166" xfId="0" applyAlignment="1" applyBorder="1" applyFont="1" applyNumberFormat="1">
      <alignment horizontal="center" shrinkToFit="0" vertical="center" wrapText="1"/>
    </xf>
    <xf borderId="4" fillId="0" fontId="10" numFmtId="0" xfId="0" applyAlignment="1" applyBorder="1" applyFont="1">
      <alignment horizontal="center" shrinkToFit="0" vertical="top" wrapText="1"/>
    </xf>
    <xf borderId="6" fillId="6" fontId="11"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6" fontId="13" numFmtId="0" xfId="0" applyAlignment="1" applyBorder="1" applyFont="1">
      <alignment horizontal="center" shrinkToFit="0" vertical="center" wrapText="1"/>
    </xf>
    <xf borderId="6" fillId="6" fontId="14" numFmtId="0" xfId="0" applyAlignment="1" applyBorder="1" applyFont="1">
      <alignment horizontal="center" shrinkToFit="0" vertical="center" wrapText="1"/>
    </xf>
    <xf borderId="4" fillId="6" fontId="15" numFmtId="0" xfId="0" applyAlignment="1" applyBorder="1" applyFont="1">
      <alignment horizontal="center" shrinkToFit="0" vertical="center" wrapText="1"/>
    </xf>
    <xf borderId="6" fillId="6" fontId="16" numFmtId="0" xfId="0" applyAlignment="1" applyBorder="1" applyFont="1">
      <alignment horizontal="center" shrinkToFit="0" vertical="center" wrapText="1"/>
    </xf>
    <xf borderId="4" fillId="0" fontId="17" numFmtId="0" xfId="0" applyBorder="1" applyFont="1"/>
    <xf borderId="4" fillId="0" fontId="10"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4" fillId="0" fontId="18" numFmtId="0" xfId="0" applyAlignment="1" applyBorder="1" applyFont="1">
      <alignment horizontal="center" shrinkToFit="0" vertical="center" wrapText="0"/>
    </xf>
    <xf borderId="0" fillId="0" fontId="19" numFmtId="0" xfId="0" applyAlignment="1" applyFont="1">
      <alignment shrinkToFit="0" vertical="top" wrapText="1"/>
    </xf>
    <xf borderId="4" fillId="6" fontId="17" numFmtId="0" xfId="0" applyAlignment="1" applyBorder="1" applyFont="1">
      <alignment horizontal="center" shrinkToFit="0" vertical="center" wrapText="1"/>
    </xf>
    <xf borderId="4" fillId="0" fontId="20" numFmtId="0" xfId="0" applyAlignment="1" applyBorder="1" applyFont="1">
      <alignment horizontal="center" readingOrder="0" shrinkToFit="0" vertical="center" wrapText="1"/>
    </xf>
    <xf borderId="4" fillId="6" fontId="21" numFmtId="0" xfId="0" applyAlignment="1" applyBorder="1" applyFont="1">
      <alignment horizontal="center" readingOrder="0" shrinkToFit="0" vertical="center" wrapText="1"/>
    </xf>
    <xf borderId="4" fillId="0" fontId="7" numFmtId="164" xfId="0" applyAlignment="1" applyBorder="1" applyFont="1" applyNumberFormat="1">
      <alignment horizontal="center" readingOrder="0" shrinkToFit="0" vertical="center" wrapText="1"/>
    </xf>
    <xf borderId="4" fillId="0" fontId="7" numFmtId="165" xfId="0" applyAlignment="1" applyBorder="1" applyFont="1" applyNumberFormat="1">
      <alignment horizontal="center" readingOrder="0" shrinkToFit="0" vertical="center" wrapText="1"/>
    </xf>
    <xf borderId="0" fillId="0" fontId="1" numFmtId="167" xfId="0" applyFont="1" applyNumberFormat="1"/>
    <xf borderId="4" fillId="0" fontId="22" numFmtId="0" xfId="0" applyAlignment="1" applyBorder="1" applyFont="1">
      <alignment horizontal="center" shrinkToFit="0" vertical="center" wrapText="1"/>
    </xf>
    <xf borderId="0" fillId="6" fontId="23" numFmtId="0" xfId="0" applyAlignment="1" applyFont="1">
      <alignment shrinkToFit="0" vertical="center" wrapText="1"/>
    </xf>
    <xf borderId="4" fillId="0" fontId="7" numFmtId="168" xfId="0" applyAlignment="1" applyBorder="1" applyFont="1" applyNumberFormat="1">
      <alignment horizontal="center" shrinkToFit="0" vertical="center" wrapText="1"/>
    </xf>
    <xf borderId="0" fillId="0" fontId="24" numFmtId="0" xfId="0" applyAlignment="1" applyFont="1">
      <alignment shrinkToFit="0" vertical="center" wrapText="1"/>
    </xf>
    <xf borderId="0" fillId="6" fontId="25" numFmtId="0" xfId="0" applyAlignment="1" applyFont="1">
      <alignment shrinkToFit="0" vertical="center" wrapText="1"/>
    </xf>
    <xf borderId="0" fillId="7" fontId="26" numFmtId="0" xfId="0" applyFill="1" applyFont="1"/>
    <xf borderId="4" fillId="0" fontId="27" numFmtId="0" xfId="0" applyAlignment="1" applyBorder="1" applyFont="1">
      <alignment shrinkToFit="0" vertical="center" wrapText="1"/>
    </xf>
    <xf borderId="4" fillId="6" fontId="25" numFmtId="0" xfId="0" applyAlignment="1" applyBorder="1" applyFont="1">
      <alignment shrinkToFit="0" vertical="center" wrapText="1"/>
    </xf>
    <xf borderId="4" fillId="0" fontId="28" numFmtId="0" xfId="0" applyAlignment="1" applyBorder="1" applyFont="1">
      <alignment shrinkToFit="0" vertical="center" wrapText="1"/>
    </xf>
    <xf borderId="4" fillId="7" fontId="26" numFmtId="0" xfId="0" applyAlignment="1" applyBorder="1" applyFont="1">
      <alignment shrinkToFit="0" vertical="center" wrapText="1"/>
    </xf>
    <xf borderId="4" fillId="6" fontId="23" numFmtId="0" xfId="0" applyAlignment="1" applyBorder="1" applyFont="1">
      <alignment shrinkToFit="0" vertical="center" wrapText="1"/>
    </xf>
    <xf borderId="0" fillId="7" fontId="26" numFmtId="0" xfId="0" applyAlignment="1" applyFont="1">
      <alignment shrinkToFit="0" vertical="center" wrapText="1"/>
    </xf>
    <xf borderId="4" fillId="4" fontId="29" numFmtId="0" xfId="0" applyAlignment="1" applyBorder="1" applyFont="1">
      <alignment horizontal="center" readingOrder="0" shrinkToFit="0" vertical="center" wrapText="1"/>
    </xf>
    <xf borderId="5" fillId="5" fontId="4"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30" numFmtId="0" xfId="0" applyAlignment="1" applyBorder="1" applyFont="1">
      <alignment readingOrder="0" shrinkToFit="0" vertical="center" wrapText="1"/>
    </xf>
    <xf borderId="4" fillId="6" fontId="23" numFmtId="0" xfId="0" applyAlignment="1" applyBorder="1" applyFont="1">
      <alignment readingOrder="0" shrinkToFit="0" vertical="center" wrapText="1"/>
    </xf>
    <xf borderId="6" fillId="6" fontId="11" numFmtId="0" xfId="0" applyAlignment="1" applyBorder="1" applyFont="1">
      <alignment horizontal="center" readingOrder="0" shrinkToFit="0" vertical="center" wrapText="1"/>
    </xf>
    <xf borderId="4" fillId="7" fontId="23" numFmtId="0" xfId="0" applyAlignment="1" applyBorder="1" applyFont="1">
      <alignment readingOrder="0" shrinkToFit="0" vertical="center" wrapText="1"/>
    </xf>
    <xf borderId="0" fillId="8" fontId="31" numFmtId="0" xfId="0" applyAlignment="1" applyFill="1" applyFont="1">
      <alignment horizontal="center" readingOrder="0"/>
    </xf>
    <xf borderId="4" fillId="9" fontId="32" numFmtId="0" xfId="0" applyAlignment="1" applyBorder="1" applyFill="1" applyFont="1">
      <alignment horizontal="center" readingOrder="0"/>
    </xf>
    <xf borderId="4" fillId="9" fontId="31" numFmtId="0" xfId="0" applyAlignment="1" applyBorder="1" applyFont="1">
      <alignment horizontal="center" readingOrder="0"/>
    </xf>
    <xf borderId="4" fillId="0" fontId="33" numFmtId="0" xfId="0" applyAlignment="1" applyBorder="1" applyFont="1">
      <alignment readingOrder="0"/>
    </xf>
    <xf borderId="4" fillId="0" fontId="33" numFmtId="3" xfId="0" applyAlignment="1" applyBorder="1" applyFont="1" applyNumberFormat="1">
      <alignment readingOrder="0"/>
    </xf>
    <xf borderId="4" fillId="0" fontId="34" numFmtId="0" xfId="0" applyAlignment="1" applyBorder="1" applyFont="1">
      <alignment readingOrder="0"/>
    </xf>
    <xf borderId="4" fillId="0" fontId="34" numFmtId="3" xfId="0" applyAlignment="1" applyBorder="1" applyFont="1" applyNumberFormat="1">
      <alignment readingOrder="0"/>
    </xf>
    <xf borderId="1" fillId="10" fontId="31" numFmtId="0" xfId="0" applyAlignment="1" applyBorder="1" applyFill="1" applyFont="1">
      <alignment readingOrder="0"/>
    </xf>
    <xf borderId="1" fillId="0" fontId="34" numFmtId="169"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rcadolibre.com.co/" TargetMode="External"/><Relationship Id="rId2" Type="http://schemas.openxmlformats.org/officeDocument/2006/relationships/hyperlink" Target="https://tigercomputadores.com/?srsltid=AfmBOorJZlRERP-hQN1gPKd5ZVE5yUrKy3J_wfi3gQWTxJ_Ivx9VU-n8"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pcware.com.co/samsung-s19a330nhl-19-pulgadas-tn-hd-1366-x768-720p-vga-hdmi-vesa-flickerfree-5ms-60-hz-plano-ls19a330nhlxzl" TargetMode="External"/><Relationship Id="rId2" Type="http://schemas.openxmlformats.org/officeDocument/2006/relationships/hyperlink" Target="https://tigercomputadores.com/producto/monitor-janus-22-1080-75hz-fhd/"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pcware.com.co/kingston-480-gb-ssd-sata-2-5-pulgadas-rev-3-0-sa400s37-480g" TargetMode="External"/><Relationship Id="rId2" Type="http://schemas.openxmlformats.org/officeDocument/2006/relationships/hyperlink" Target="https://tigercomputadores.com/producto/disco-ssd-1tb-kingspec-sata/"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pcware.com.co/kingston-8-gb-ddr4-2666-mt-sodimm-s-non-ecc-unbuffered-cl19-1rx8-1-2v-260-pin-8gbit-kvr26s19s8-8" TargetMode="External"/><Relationship Id="rId2" Type="http://schemas.openxmlformats.org/officeDocument/2006/relationships/hyperlink" Target="https://tigercomputadores.com/producto/memoria-ram-sodimm-8gb-ddr4-3200-crucial/"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mb-asrock-h370m-hdv-ddr4-lga-1151-color-negro/p/MCO24574867" TargetMode="External"/><Relationship Id="rId2" Type="http://schemas.openxmlformats.org/officeDocument/2006/relationships/hyperlink" Target="https://www.pcware.com.co/gigabyte-b450-aorus-m-ds3h-v2ryzen-am4-socket-sata-6gbnvme-pcie-gen3-x4-m.24-dimms-micro-atx-amd-copia" TargetMode="External"/><Relationship Id="rId3" Type="http://schemas.openxmlformats.org/officeDocument/2006/relationships/hyperlink" Target="https://tigercomputadores.com/producto/mother-gigabyte-b450m-aorus-elite-ddr4-am4/"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ercadolibre.com.co/procesador-intel-core-i3-10100-bx8070110100-de-4-nucleos-y-43ghz-de-frecuencia-con-grafica-integrada/p/MCO15915916" TargetMode="External"/><Relationship Id="rId2" Type="http://schemas.openxmlformats.org/officeDocument/2006/relationships/hyperlink" Target="https://www.pcware.com.co/amd-ryzen-5-5600g-cezanne-6-core-3-9-ghz-am4-65w-desktop-processor-amd-radeon-graphics-100-100000252box" TargetMode="External"/><Relationship Id="rId3" Type="http://schemas.openxmlformats.org/officeDocument/2006/relationships/hyperlink" Target="https://tigercomputadores.com/producto/procesador-intel-core-i3-10100-lga1200/"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mercadolibre.com.co/fuente-de-poder-iceberg-gaming-700-bx-700w-80-plus-bronce-color-negro/p/MCO44785716?pdp_filters=item_id:MCO1693785975" TargetMode="External"/><Relationship Id="rId2" Type="http://schemas.openxmlformats.org/officeDocument/2006/relationships/hyperlink" Target="https://www.pcware.com.co/corsair-cv650-650w-80-plus-bronze-cp-9020236-na" TargetMode="External"/><Relationship Id="rId3" Type="http://schemas.openxmlformats.org/officeDocument/2006/relationships/hyperlink" Target="https://tigercomputadores.com/producto/fuente-aerocool-750w-dorado-80-gold-rgb/"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ercadolibre.com.co/combo-teclado-y-mouse-alambrico-negro-usb-h-8810/p/MCO29811198" TargetMode="External"/><Relationship Id="rId2" Type="http://schemas.openxmlformats.org/officeDocument/2006/relationships/hyperlink" Target="https://www.pcware.com.co/redragon-k552rgb-ba-sp-kit-teclado-mecanico-kumara-switch-azul-rgb-100-anti-ghosting-mouse-griffin-m607-sensor-pixart-p3212-optico-dpi-600-7200-switch-omron-negro" TargetMode="External"/><Relationship Id="rId3" Type="http://schemas.openxmlformats.org/officeDocument/2006/relationships/hyperlink" Target="https://tigercomputadores.com/producto/combo-teclado-y-mouse-jyr-ctmijr-011-wireless-negro/"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fuente-de-poder-iceberg-gaming-700-bx-700w-80-plus-bronce-color-negro/p/MCO44785716?pdp_filters=item_id:MCO1693785975" TargetMode="External"/><Relationship Id="rId2" Type="http://schemas.openxmlformats.org/officeDocument/2006/relationships/hyperlink" Target="https://www.pcware.com.co/corsair-cv650-650w-80-plus-bronze-cp-9020236-na" TargetMode="External"/><Relationship Id="rId3" Type="http://schemas.openxmlformats.org/officeDocument/2006/relationships/hyperlink" Target="https://tigercomputadores.com/producto/fuente-aerocool-750w-dorado-80-gold-rgb/"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ercadolibre.com.co/fuente-de-poder-iceberg-gaming-700-bx-700w-80-plus-bronce-color-negro/p/MCO44785716?pdp_filters=item_id:MCO1693785975" TargetMode="External"/><Relationship Id="rId2" Type="http://schemas.openxmlformats.org/officeDocument/2006/relationships/hyperlink" Target="https://www.pcware.com.co/corsair-cv650-650w-80-plus-bronze-cp-9020236-na" TargetMode="External"/><Relationship Id="rId3" Type="http://schemas.openxmlformats.org/officeDocument/2006/relationships/hyperlink" Target="https://tigercomputadores.com/producto/fuente-aerocool-750w-dorado-80-gold-rgb/"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ercadolibre.com.co/fuente-de-poder-iceberg-gaming-700-bx-700w-80-plus-bronce-color-negro/p/MCO44785716?pdp_filters=item_id:MCO1693785975" TargetMode="External"/><Relationship Id="rId2" Type="http://schemas.openxmlformats.org/officeDocument/2006/relationships/hyperlink" Target="https://www.pcware.com.co/corsair-cv650-650w-80-plus-bronze-cp-9020236-na" TargetMode="External"/><Relationship Id="rId3" Type="http://schemas.openxmlformats.org/officeDocument/2006/relationships/hyperlink" Target="https://tigercomputadores.com/producto/fuente-aerocool-750w-dorado-80-gold-rgb/"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0.63"/>
  </cols>
  <sheetData>
    <row r="1" ht="14.25" customHeight="1">
      <c r="A1" s="1"/>
      <c r="B1" s="1"/>
      <c r="C1" s="1"/>
      <c r="D1" s="2" t="s">
        <v>0</v>
      </c>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3" t="s">
        <v>1</v>
      </c>
      <c r="B4" s="4"/>
      <c r="C4" s="4"/>
      <c r="D4" s="4"/>
      <c r="E4" s="4"/>
      <c r="F4" s="4"/>
      <c r="G4" s="4"/>
      <c r="H4" s="4"/>
      <c r="I4" s="4"/>
      <c r="J4" s="5"/>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6" t="s">
        <v>2</v>
      </c>
      <c r="B6" s="7" t="s">
        <v>3</v>
      </c>
      <c r="C6" s="7" t="s">
        <v>4</v>
      </c>
      <c r="D6" s="7" t="s">
        <v>5</v>
      </c>
      <c r="E6" s="7" t="s">
        <v>6</v>
      </c>
      <c r="F6" s="8" t="s">
        <v>7</v>
      </c>
      <c r="G6" s="9" t="s">
        <v>8</v>
      </c>
      <c r="H6" s="7" t="s">
        <v>9</v>
      </c>
      <c r="I6" s="7" t="s">
        <v>10</v>
      </c>
      <c r="J6" s="7" t="s">
        <v>11</v>
      </c>
      <c r="K6" s="1"/>
      <c r="L6" s="1"/>
      <c r="M6" s="1"/>
      <c r="N6" s="1"/>
      <c r="O6" s="1"/>
      <c r="P6" s="1"/>
      <c r="Q6" s="1"/>
      <c r="R6" s="1"/>
      <c r="S6" s="1"/>
      <c r="T6" s="1"/>
      <c r="U6" s="1"/>
      <c r="V6" s="1"/>
      <c r="W6" s="1"/>
      <c r="X6" s="1"/>
      <c r="Y6" s="1"/>
      <c r="Z6" s="1"/>
    </row>
    <row r="7" ht="14.25" customHeight="1">
      <c r="A7" s="10" t="s">
        <v>12</v>
      </c>
      <c r="B7" s="11" t="s">
        <v>13</v>
      </c>
      <c r="C7" s="12" t="s">
        <v>14</v>
      </c>
      <c r="D7" s="13" t="s">
        <v>15</v>
      </c>
      <c r="E7" s="14">
        <v>880000.0</v>
      </c>
      <c r="F7" s="14">
        <v>152000.0</v>
      </c>
      <c r="G7" s="15" t="s">
        <v>16</v>
      </c>
      <c r="H7" s="16">
        <v>952000.0</v>
      </c>
      <c r="I7" s="17" t="s">
        <v>17</v>
      </c>
      <c r="J7" s="18" t="s">
        <v>18</v>
      </c>
      <c r="K7" s="1"/>
      <c r="L7" s="1"/>
      <c r="M7" s="1"/>
      <c r="N7" s="1"/>
      <c r="O7" s="1"/>
      <c r="P7" s="1"/>
      <c r="Q7" s="1"/>
      <c r="R7" s="1"/>
      <c r="S7" s="1"/>
      <c r="T7" s="1"/>
      <c r="U7" s="1"/>
      <c r="V7" s="1"/>
      <c r="W7" s="1"/>
      <c r="X7" s="1"/>
      <c r="Y7" s="1"/>
      <c r="Z7" s="1"/>
    </row>
    <row r="8" ht="14.25" customHeight="1">
      <c r="A8" s="10" t="s">
        <v>19</v>
      </c>
      <c r="B8" s="19" t="s">
        <v>20</v>
      </c>
      <c r="C8" s="12" t="s">
        <v>21</v>
      </c>
      <c r="D8" s="20" t="s">
        <v>22</v>
      </c>
      <c r="E8" s="14">
        <v>300000.0</v>
      </c>
      <c r="F8" s="14">
        <v>57000.0</v>
      </c>
      <c r="G8" s="15" t="s">
        <v>23</v>
      </c>
      <c r="H8" s="16">
        <v>357000.0</v>
      </c>
      <c r="I8" s="17" t="s">
        <v>17</v>
      </c>
      <c r="J8" s="21" t="s">
        <v>24</v>
      </c>
      <c r="K8" s="1"/>
      <c r="L8" s="1"/>
      <c r="M8" s="1"/>
      <c r="N8" s="1"/>
      <c r="O8" s="1"/>
      <c r="P8" s="1"/>
      <c r="Q8" s="1"/>
      <c r="R8" s="1"/>
      <c r="S8" s="1"/>
      <c r="T8" s="1"/>
      <c r="U8" s="1"/>
      <c r="V8" s="1"/>
      <c r="W8" s="1"/>
      <c r="X8" s="1"/>
      <c r="Y8" s="1"/>
      <c r="Z8" s="1"/>
    </row>
    <row r="9" ht="14.25" customHeight="1">
      <c r="A9" s="10" t="s">
        <v>25</v>
      </c>
      <c r="B9" s="11" t="s">
        <v>26</v>
      </c>
      <c r="C9" s="12" t="s">
        <v>27</v>
      </c>
      <c r="D9" s="22" t="s">
        <v>28</v>
      </c>
      <c r="E9" s="14">
        <v>290000.0</v>
      </c>
      <c r="F9" s="14">
        <v>55100.0</v>
      </c>
      <c r="G9" s="15" t="s">
        <v>29</v>
      </c>
      <c r="H9" s="16">
        <v>345100.0</v>
      </c>
      <c r="I9" s="17" t="s">
        <v>17</v>
      </c>
      <c r="J9" s="23" t="s">
        <v>30</v>
      </c>
      <c r="K9" s="1"/>
      <c r="L9" s="1"/>
      <c r="M9" s="1"/>
      <c r="N9" s="1"/>
      <c r="O9" s="1"/>
      <c r="P9" s="1"/>
      <c r="Q9" s="1"/>
      <c r="R9" s="1"/>
      <c r="S9" s="1"/>
      <c r="T9" s="1"/>
      <c r="U9" s="1"/>
      <c r="V9" s="1"/>
      <c r="W9" s="1"/>
      <c r="X9" s="1"/>
      <c r="Y9" s="1"/>
      <c r="Z9" s="1"/>
    </row>
    <row r="10" ht="14.25" customHeight="1">
      <c r="A10" s="24"/>
      <c r="B10" s="25"/>
      <c r="C10" s="25"/>
      <c r="D10" s="25"/>
      <c r="E10" s="25"/>
      <c r="F10" s="25"/>
      <c r="G10" s="25"/>
      <c r="H10" s="25"/>
      <c r="I10" s="25"/>
      <c r="J10" s="25"/>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26" t="s">
        <v>31</v>
      </c>
      <c r="B12" s="4"/>
      <c r="C12" s="4"/>
      <c r="D12" s="4"/>
      <c r="E12" s="4"/>
      <c r="F12" s="4"/>
      <c r="G12" s="4"/>
      <c r="H12" s="4"/>
      <c r="I12" s="4"/>
      <c r="J12" s="5"/>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26" t="s">
        <v>32</v>
      </c>
      <c r="B14" s="4"/>
      <c r="C14" s="4"/>
      <c r="D14" s="4"/>
      <c r="E14" s="4"/>
      <c r="F14" s="4"/>
      <c r="G14" s="4"/>
      <c r="H14" s="4"/>
      <c r="I14" s="4"/>
      <c r="J14" s="5"/>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D1:H1"/>
    <mergeCell ref="A4:J4"/>
    <mergeCell ref="A12:J12"/>
    <mergeCell ref="A14:J14"/>
  </mergeCells>
  <hyperlinks>
    <hyperlink r:id="rId1" ref="C7"/>
    <hyperlink r:id="rId2" ref="C9"/>
  </hyperlinks>
  <printOptions/>
  <pageMargins bottom="0.75" footer="0.0" header="0.0" left="0.7" right="0.7" top="0.75"/>
  <pageSetup paperSize="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0.63"/>
  </cols>
  <sheetData>
    <row r="1" ht="14.25" customHeight="1">
      <c r="A1" s="1"/>
      <c r="B1" s="1"/>
      <c r="C1" s="1"/>
      <c r="D1" s="2" t="s">
        <v>0</v>
      </c>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3" t="s">
        <v>1</v>
      </c>
      <c r="B4" s="4"/>
      <c r="C4" s="4"/>
      <c r="D4" s="4"/>
      <c r="E4" s="4"/>
      <c r="F4" s="4"/>
      <c r="G4" s="4"/>
      <c r="H4" s="4"/>
      <c r="I4" s="4"/>
      <c r="J4" s="5"/>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6" t="s">
        <v>2</v>
      </c>
      <c r="B6" s="7" t="s">
        <v>33</v>
      </c>
      <c r="C6" s="7" t="s">
        <v>34</v>
      </c>
      <c r="D6" s="7" t="s">
        <v>35</v>
      </c>
      <c r="E6" s="7" t="s">
        <v>36</v>
      </c>
      <c r="F6" s="8" t="s">
        <v>37</v>
      </c>
      <c r="G6" s="9" t="s">
        <v>38</v>
      </c>
      <c r="H6" s="7" t="s">
        <v>9</v>
      </c>
      <c r="I6" s="7" t="s">
        <v>39</v>
      </c>
      <c r="J6" s="7" t="s">
        <v>40</v>
      </c>
      <c r="K6" s="1"/>
      <c r="L6" s="1"/>
      <c r="M6" s="1"/>
      <c r="N6" s="1"/>
      <c r="O6" s="1"/>
      <c r="P6" s="1"/>
      <c r="Q6" s="1"/>
      <c r="R6" s="1"/>
      <c r="S6" s="1"/>
      <c r="T6" s="1"/>
      <c r="U6" s="1"/>
      <c r="V6" s="1"/>
      <c r="W6" s="1"/>
      <c r="X6" s="1"/>
      <c r="Y6" s="1"/>
      <c r="Z6" s="1"/>
    </row>
    <row r="7" ht="14.25" customHeight="1">
      <c r="A7" s="10" t="s">
        <v>12</v>
      </c>
      <c r="B7" s="11" t="s">
        <v>13</v>
      </c>
      <c r="C7" s="12" t="s">
        <v>41</v>
      </c>
      <c r="D7" s="13" t="s">
        <v>42</v>
      </c>
      <c r="E7" s="14">
        <v>300000.0</v>
      </c>
      <c r="F7" s="14">
        <v>57000.0</v>
      </c>
      <c r="G7" s="15" t="s">
        <v>43</v>
      </c>
      <c r="H7" s="16">
        <f t="shared" ref="H7:H8" si="1">E7+F7</f>
        <v>357000</v>
      </c>
      <c r="I7" s="17" t="s">
        <v>17</v>
      </c>
      <c r="J7" s="18" t="s">
        <v>44</v>
      </c>
      <c r="K7" s="1"/>
      <c r="L7" s="1"/>
      <c r="M7" s="1"/>
      <c r="N7" s="1"/>
      <c r="O7" s="1"/>
      <c r="P7" s="1"/>
      <c r="Q7" s="1"/>
      <c r="R7" s="1"/>
      <c r="S7" s="1"/>
      <c r="T7" s="1"/>
      <c r="U7" s="1"/>
      <c r="V7" s="1"/>
      <c r="W7" s="1"/>
      <c r="X7" s="1"/>
      <c r="Y7" s="1"/>
      <c r="Z7" s="1"/>
    </row>
    <row r="8" ht="14.25" customHeight="1">
      <c r="A8" s="10" t="s">
        <v>19</v>
      </c>
      <c r="B8" s="19" t="s">
        <v>45</v>
      </c>
      <c r="C8" s="12" t="s">
        <v>46</v>
      </c>
      <c r="D8" s="20" t="s">
        <v>47</v>
      </c>
      <c r="E8" s="14">
        <v>369000.0</v>
      </c>
      <c r="F8" s="14">
        <v>70200.0</v>
      </c>
      <c r="G8" s="15" t="s">
        <v>48</v>
      </c>
      <c r="H8" s="16">
        <f t="shared" si="1"/>
        <v>439200</v>
      </c>
      <c r="I8" s="17" t="s">
        <v>17</v>
      </c>
      <c r="J8" s="21" t="s">
        <v>49</v>
      </c>
      <c r="K8" s="1"/>
      <c r="L8" s="1"/>
      <c r="M8" s="1"/>
      <c r="N8" s="1"/>
      <c r="O8" s="1"/>
      <c r="P8" s="1"/>
      <c r="Q8" s="1"/>
      <c r="R8" s="1"/>
      <c r="S8" s="1"/>
      <c r="T8" s="1"/>
      <c r="U8" s="1"/>
      <c r="V8" s="1"/>
      <c r="W8" s="1"/>
      <c r="X8" s="1"/>
      <c r="Y8" s="1"/>
      <c r="Z8" s="1"/>
    </row>
    <row r="9" ht="14.25" customHeight="1">
      <c r="A9" s="10" t="s">
        <v>25</v>
      </c>
      <c r="B9" s="11" t="s">
        <v>26</v>
      </c>
      <c r="C9" s="12" t="s">
        <v>50</v>
      </c>
      <c r="D9" s="22" t="s">
        <v>51</v>
      </c>
      <c r="E9" s="14">
        <v>340000.0</v>
      </c>
      <c r="F9" s="14">
        <v>64600.0</v>
      </c>
      <c r="G9" s="15" t="s">
        <v>52</v>
      </c>
      <c r="H9" s="16">
        <v>404600.0</v>
      </c>
      <c r="I9" s="17" t="s">
        <v>17</v>
      </c>
      <c r="J9" s="23" t="s">
        <v>49</v>
      </c>
      <c r="K9" s="1"/>
      <c r="L9" s="1"/>
      <c r="M9" s="1"/>
      <c r="N9" s="1"/>
      <c r="O9" s="1"/>
      <c r="P9" s="1"/>
      <c r="Q9" s="1"/>
      <c r="R9" s="1"/>
      <c r="S9" s="1"/>
      <c r="T9" s="1"/>
      <c r="U9" s="1"/>
      <c r="V9" s="1"/>
      <c r="W9" s="1"/>
      <c r="X9" s="1"/>
      <c r="Y9" s="1"/>
      <c r="Z9" s="1"/>
    </row>
    <row r="10" ht="14.25" customHeight="1">
      <c r="A10" s="24"/>
      <c r="B10" s="25"/>
      <c r="C10" s="25"/>
      <c r="D10" s="25"/>
      <c r="E10" s="25"/>
      <c r="F10" s="25"/>
      <c r="G10" s="25"/>
      <c r="H10" s="25"/>
      <c r="I10" s="25"/>
      <c r="J10" s="25"/>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26" t="s">
        <v>53</v>
      </c>
      <c r="B12" s="4"/>
      <c r="C12" s="4"/>
      <c r="D12" s="4"/>
      <c r="E12" s="4"/>
      <c r="F12" s="4"/>
      <c r="G12" s="4"/>
      <c r="H12" s="4"/>
      <c r="I12" s="4"/>
      <c r="J12" s="5"/>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26" t="s">
        <v>54</v>
      </c>
      <c r="B14" s="4"/>
      <c r="C14" s="4"/>
      <c r="D14" s="4"/>
      <c r="E14" s="4"/>
      <c r="F14" s="4"/>
      <c r="G14" s="4"/>
      <c r="H14" s="4"/>
      <c r="I14" s="4"/>
      <c r="J14" s="5"/>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D1:H1"/>
    <mergeCell ref="A4:J4"/>
    <mergeCell ref="A12:J12"/>
    <mergeCell ref="A14:J14"/>
  </mergeCells>
  <hyperlinks>
    <hyperlink r:id="rId1" ref="C8"/>
    <hyperlink r:id="rId2" ref="C9"/>
  </hyperlinks>
  <printOptions/>
  <pageMargins bottom="0.75" footer="0.0" header="0.0" left="0.7" right="0.7" top="0.75"/>
  <pageSetup paperSize="9"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0.63"/>
  </cols>
  <sheetData>
    <row r="1" ht="14.25" customHeight="1">
      <c r="A1" s="1"/>
      <c r="B1" s="1"/>
      <c r="C1" s="1"/>
      <c r="D1" s="2" t="s">
        <v>0</v>
      </c>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3" t="s">
        <v>1</v>
      </c>
      <c r="B4" s="4"/>
      <c r="C4" s="4"/>
      <c r="D4" s="4"/>
      <c r="E4" s="4"/>
      <c r="F4" s="4"/>
      <c r="G4" s="4"/>
      <c r="H4" s="4"/>
      <c r="I4" s="4"/>
      <c r="J4" s="5"/>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6" t="s">
        <v>2</v>
      </c>
      <c r="B6" s="7" t="s">
        <v>55</v>
      </c>
      <c r="C6" s="7" t="s">
        <v>56</v>
      </c>
      <c r="D6" s="7" t="s">
        <v>57</v>
      </c>
      <c r="E6" s="7" t="s">
        <v>58</v>
      </c>
      <c r="F6" s="8" t="s">
        <v>59</v>
      </c>
      <c r="G6" s="9" t="s">
        <v>60</v>
      </c>
      <c r="H6" s="7" t="s">
        <v>9</v>
      </c>
      <c r="I6" s="7" t="s">
        <v>61</v>
      </c>
      <c r="J6" s="7" t="s">
        <v>62</v>
      </c>
      <c r="K6" s="1"/>
      <c r="L6" s="1"/>
      <c r="M6" s="1"/>
      <c r="N6" s="1"/>
      <c r="O6" s="1"/>
      <c r="P6" s="1"/>
      <c r="Q6" s="1"/>
      <c r="R6" s="1"/>
      <c r="S6" s="1"/>
      <c r="T6" s="1"/>
      <c r="U6" s="1"/>
      <c r="V6" s="1"/>
      <c r="W6" s="1"/>
      <c r="X6" s="1"/>
      <c r="Y6" s="1"/>
      <c r="Z6" s="1"/>
    </row>
    <row r="7" ht="14.25" customHeight="1">
      <c r="A7" s="10" t="s">
        <v>12</v>
      </c>
      <c r="B7" s="11" t="s">
        <v>13</v>
      </c>
      <c r="C7" s="12" t="s">
        <v>63</v>
      </c>
      <c r="D7" s="13" t="s">
        <v>64</v>
      </c>
      <c r="E7" s="14">
        <v>200000.0</v>
      </c>
      <c r="F7" s="14">
        <v>38000.0</v>
      </c>
      <c r="G7" s="15" t="s">
        <v>65</v>
      </c>
      <c r="H7" s="16">
        <f t="shared" ref="H7:H8" si="1">E7+F7</f>
        <v>238000</v>
      </c>
      <c r="I7" s="17" t="s">
        <v>17</v>
      </c>
      <c r="J7" s="18" t="s">
        <v>66</v>
      </c>
      <c r="K7" s="1"/>
      <c r="L7" s="1"/>
      <c r="M7" s="1"/>
      <c r="N7" s="1"/>
      <c r="O7" s="1"/>
      <c r="P7" s="1"/>
      <c r="Q7" s="1"/>
      <c r="R7" s="1"/>
      <c r="S7" s="1"/>
      <c r="T7" s="1"/>
      <c r="U7" s="1"/>
      <c r="V7" s="1"/>
      <c r="W7" s="1"/>
      <c r="X7" s="1"/>
      <c r="Y7" s="1"/>
      <c r="Z7" s="1"/>
    </row>
    <row r="8" ht="14.25" customHeight="1">
      <c r="A8" s="10" t="s">
        <v>19</v>
      </c>
      <c r="B8" s="19" t="s">
        <v>45</v>
      </c>
      <c r="C8" s="12" t="s">
        <v>67</v>
      </c>
      <c r="D8" s="20" t="s">
        <v>68</v>
      </c>
      <c r="E8" s="14">
        <v>300000.0</v>
      </c>
      <c r="F8" s="14">
        <v>70200.0</v>
      </c>
      <c r="G8" s="15" t="s">
        <v>69</v>
      </c>
      <c r="H8" s="16">
        <f t="shared" si="1"/>
        <v>370200</v>
      </c>
      <c r="I8" s="17" t="s">
        <v>17</v>
      </c>
      <c r="J8" s="21" t="s">
        <v>70</v>
      </c>
      <c r="K8" s="1"/>
      <c r="L8" s="1"/>
      <c r="M8" s="1"/>
      <c r="N8" s="1"/>
      <c r="O8" s="1"/>
      <c r="P8" s="1"/>
      <c r="Q8" s="1"/>
      <c r="R8" s="1"/>
      <c r="S8" s="1"/>
      <c r="T8" s="1"/>
      <c r="U8" s="1"/>
      <c r="V8" s="1"/>
      <c r="W8" s="1"/>
      <c r="X8" s="1"/>
      <c r="Y8" s="1"/>
      <c r="Z8" s="1"/>
    </row>
    <row r="9" ht="14.25" customHeight="1">
      <c r="A9" s="10" t="s">
        <v>25</v>
      </c>
      <c r="B9" s="11" t="s">
        <v>26</v>
      </c>
      <c r="C9" s="12" t="s">
        <v>71</v>
      </c>
      <c r="D9" s="22" t="s">
        <v>72</v>
      </c>
      <c r="E9" s="14">
        <v>270000.0</v>
      </c>
      <c r="F9" s="14">
        <v>64600.0</v>
      </c>
      <c r="G9" s="15" t="s">
        <v>73</v>
      </c>
      <c r="H9" s="16">
        <f>E9+F8</f>
        <v>340200</v>
      </c>
      <c r="I9" s="17" t="s">
        <v>17</v>
      </c>
      <c r="J9" s="23" t="s">
        <v>74</v>
      </c>
      <c r="K9" s="1"/>
      <c r="L9" s="1"/>
      <c r="M9" s="1"/>
      <c r="N9" s="1"/>
      <c r="O9" s="1"/>
      <c r="P9" s="1"/>
      <c r="Q9" s="1"/>
      <c r="R9" s="1"/>
      <c r="S9" s="1"/>
      <c r="T9" s="1"/>
      <c r="U9" s="1"/>
      <c r="V9" s="1"/>
      <c r="W9" s="1"/>
      <c r="X9" s="1"/>
      <c r="Y9" s="1"/>
      <c r="Z9" s="1"/>
    </row>
    <row r="10" ht="14.25" customHeight="1">
      <c r="A10" s="24"/>
      <c r="B10" s="25"/>
      <c r="C10" s="25"/>
      <c r="D10" s="25"/>
      <c r="E10" s="25"/>
      <c r="F10" s="25"/>
      <c r="G10" s="25"/>
      <c r="H10" s="25"/>
      <c r="I10" s="25"/>
      <c r="J10" s="25"/>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26" t="s">
        <v>75</v>
      </c>
      <c r="B12" s="4"/>
      <c r="C12" s="4"/>
      <c r="D12" s="4"/>
      <c r="E12" s="4"/>
      <c r="F12" s="4"/>
      <c r="G12" s="4"/>
      <c r="H12" s="4"/>
      <c r="I12" s="4"/>
      <c r="J12" s="5"/>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26" t="s">
        <v>76</v>
      </c>
      <c r="B14" s="4"/>
      <c r="C14" s="4"/>
      <c r="D14" s="4"/>
      <c r="E14" s="4"/>
      <c r="F14" s="4"/>
      <c r="G14" s="4"/>
      <c r="H14" s="4"/>
      <c r="I14" s="4"/>
      <c r="J14" s="5"/>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D1:H1"/>
    <mergeCell ref="A4:J4"/>
    <mergeCell ref="A12:J12"/>
    <mergeCell ref="A14:J14"/>
  </mergeCells>
  <hyperlinks>
    <hyperlink r:id="rId1" ref="C8"/>
    <hyperlink r:id="rId2" ref="C9"/>
  </hyperlinks>
  <printOptions/>
  <pageMargins bottom="0.75" footer="0.0" header="0.0" left="0.7" right="0.7" top="0.75"/>
  <pageSetup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0.63"/>
  </cols>
  <sheetData>
    <row r="1" ht="14.25" customHeight="1">
      <c r="A1" s="1"/>
      <c r="B1" s="1"/>
      <c r="C1" s="1"/>
      <c r="D1" s="2" t="s">
        <v>0</v>
      </c>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3" t="s">
        <v>1</v>
      </c>
      <c r="B4" s="4"/>
      <c r="C4" s="4"/>
      <c r="D4" s="4"/>
      <c r="E4" s="4"/>
      <c r="F4" s="4"/>
      <c r="G4" s="4"/>
      <c r="H4" s="4"/>
      <c r="I4" s="4"/>
      <c r="J4" s="5"/>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6" t="s">
        <v>2</v>
      </c>
      <c r="B6" s="7" t="s">
        <v>77</v>
      </c>
      <c r="C6" s="7" t="s">
        <v>78</v>
      </c>
      <c r="D6" s="7" t="s">
        <v>79</v>
      </c>
      <c r="E6" s="7" t="s">
        <v>80</v>
      </c>
      <c r="F6" s="8" t="s">
        <v>81</v>
      </c>
      <c r="G6" s="9" t="s">
        <v>82</v>
      </c>
      <c r="H6" s="7" t="s">
        <v>9</v>
      </c>
      <c r="I6" s="7" t="s">
        <v>83</v>
      </c>
      <c r="J6" s="7" t="s">
        <v>84</v>
      </c>
      <c r="K6" s="1"/>
      <c r="L6" s="1"/>
      <c r="M6" s="1"/>
      <c r="N6" s="1"/>
      <c r="O6" s="1"/>
      <c r="P6" s="1"/>
      <c r="Q6" s="1"/>
      <c r="R6" s="1"/>
      <c r="S6" s="1"/>
      <c r="T6" s="1"/>
      <c r="U6" s="1"/>
      <c r="V6" s="1"/>
      <c r="W6" s="1"/>
      <c r="X6" s="1"/>
      <c r="Y6" s="1"/>
      <c r="Z6" s="1"/>
    </row>
    <row r="7" ht="14.25" customHeight="1">
      <c r="A7" s="10" t="s">
        <v>12</v>
      </c>
      <c r="B7" s="11" t="s">
        <v>13</v>
      </c>
      <c r="C7" s="27" t="s">
        <v>85</v>
      </c>
      <c r="D7" s="13" t="s">
        <v>86</v>
      </c>
      <c r="E7" s="14">
        <v>384000.0</v>
      </c>
      <c r="F7" s="14">
        <f t="shared" ref="F7:F9" si="1">E7*0.19</f>
        <v>72960</v>
      </c>
      <c r="G7" s="15" t="s">
        <v>87</v>
      </c>
      <c r="H7" s="16">
        <f t="shared" ref="H7:H9" si="2">E7+F7</f>
        <v>456960</v>
      </c>
      <c r="I7" s="17" t="s">
        <v>17</v>
      </c>
      <c r="J7" s="18" t="s">
        <v>88</v>
      </c>
      <c r="K7" s="1"/>
      <c r="L7" s="1"/>
      <c r="M7" s="1"/>
      <c r="N7" s="1"/>
      <c r="O7" s="1"/>
      <c r="P7" s="1"/>
      <c r="Q7" s="1"/>
      <c r="R7" s="1"/>
      <c r="S7" s="1"/>
      <c r="T7" s="1"/>
      <c r="U7" s="1"/>
      <c r="V7" s="1"/>
      <c r="W7" s="1"/>
      <c r="X7" s="1"/>
      <c r="Y7" s="1"/>
      <c r="Z7" s="1"/>
    </row>
    <row r="8" ht="14.25" customHeight="1">
      <c r="A8" s="10" t="s">
        <v>19</v>
      </c>
      <c r="B8" s="19" t="s">
        <v>45</v>
      </c>
      <c r="C8" s="28" t="s">
        <v>89</v>
      </c>
      <c r="D8" s="29" t="s">
        <v>90</v>
      </c>
      <c r="E8" s="14">
        <v>200000.0</v>
      </c>
      <c r="F8" s="14">
        <f t="shared" si="1"/>
        <v>38000</v>
      </c>
      <c r="G8" s="15" t="s">
        <v>91</v>
      </c>
      <c r="H8" s="16">
        <f t="shared" si="2"/>
        <v>238000</v>
      </c>
      <c r="I8" s="17" t="s">
        <v>17</v>
      </c>
      <c r="J8" s="18" t="s">
        <v>92</v>
      </c>
      <c r="K8" s="1"/>
      <c r="L8" s="1"/>
      <c r="M8" s="1"/>
      <c r="N8" s="1"/>
      <c r="O8" s="1"/>
      <c r="P8" s="1"/>
      <c r="Q8" s="1"/>
      <c r="R8" s="1"/>
      <c r="S8" s="1"/>
      <c r="T8" s="1"/>
      <c r="U8" s="1"/>
      <c r="V8" s="1"/>
      <c r="W8" s="1"/>
      <c r="X8" s="1"/>
      <c r="Y8" s="1"/>
      <c r="Z8" s="1"/>
    </row>
    <row r="9" ht="14.25" customHeight="1">
      <c r="A9" s="10" t="s">
        <v>25</v>
      </c>
      <c r="B9" s="11" t="s">
        <v>26</v>
      </c>
      <c r="C9" s="30" t="s">
        <v>93</v>
      </c>
      <c r="D9" s="31" t="s">
        <v>94</v>
      </c>
      <c r="E9" s="32">
        <v>170000.0</v>
      </c>
      <c r="F9" s="14">
        <f t="shared" si="1"/>
        <v>32300</v>
      </c>
      <c r="G9" s="33" t="s">
        <v>95</v>
      </c>
      <c r="H9" s="16">
        <f t="shared" si="2"/>
        <v>202300</v>
      </c>
      <c r="I9" s="17" t="s">
        <v>17</v>
      </c>
      <c r="J9" s="18" t="s">
        <v>96</v>
      </c>
      <c r="K9" s="1"/>
      <c r="L9" s="1"/>
      <c r="M9" s="1"/>
      <c r="N9" s="1"/>
      <c r="O9" s="1"/>
      <c r="P9" s="1"/>
      <c r="Q9" s="1"/>
      <c r="R9" s="1"/>
      <c r="S9" s="1"/>
      <c r="T9" s="1"/>
      <c r="U9" s="1"/>
      <c r="V9" s="1"/>
      <c r="W9" s="1"/>
      <c r="X9" s="1"/>
      <c r="Y9" s="1"/>
      <c r="Z9" s="1"/>
    </row>
    <row r="10" ht="14.25" customHeight="1">
      <c r="A10" s="24"/>
      <c r="B10" s="25"/>
      <c r="C10" s="25"/>
      <c r="D10" s="25"/>
      <c r="E10" s="25"/>
      <c r="F10" s="25"/>
      <c r="G10" s="25"/>
      <c r="H10" s="25"/>
      <c r="I10" s="25"/>
      <c r="J10" s="25"/>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26" t="s">
        <v>97</v>
      </c>
      <c r="B12" s="4"/>
      <c r="C12" s="4"/>
      <c r="D12" s="4"/>
      <c r="E12" s="4"/>
      <c r="F12" s="4"/>
      <c r="G12" s="4"/>
      <c r="H12" s="4"/>
      <c r="I12" s="4"/>
      <c r="J12" s="5"/>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26" t="s">
        <v>98</v>
      </c>
      <c r="B14" s="4"/>
      <c r="C14" s="4"/>
      <c r="D14" s="4"/>
      <c r="E14" s="4"/>
      <c r="F14" s="4"/>
      <c r="G14" s="4"/>
      <c r="H14" s="4"/>
      <c r="I14" s="4"/>
      <c r="J14" s="5"/>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D1:H1"/>
    <mergeCell ref="A4:J4"/>
    <mergeCell ref="A12:J12"/>
    <mergeCell ref="A14:J14"/>
  </mergeCells>
  <hyperlinks>
    <hyperlink r:id="rId1" ref="C8"/>
    <hyperlink r:id="rId2" ref="C9"/>
  </hyperlinks>
  <printOptions/>
  <pageMargins bottom="0.75" footer="0.0" header="0.0" left="0.7" right="0.7" top="0.75"/>
  <pageSetup paperSize="9" orientation="portrait"/>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0.63"/>
  </cols>
  <sheetData>
    <row r="1" ht="14.25" customHeight="1">
      <c r="A1" s="34"/>
      <c r="B1" s="1"/>
      <c r="C1" s="1"/>
      <c r="D1" s="2" t="s">
        <v>0</v>
      </c>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3" t="s">
        <v>1</v>
      </c>
      <c r="B4" s="4"/>
      <c r="C4" s="4"/>
      <c r="D4" s="4"/>
      <c r="E4" s="4"/>
      <c r="F4" s="4"/>
      <c r="G4" s="4"/>
      <c r="H4" s="4"/>
      <c r="I4" s="4"/>
      <c r="J4" s="5"/>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6" t="s">
        <v>2</v>
      </c>
      <c r="B6" s="7" t="s">
        <v>99</v>
      </c>
      <c r="C6" s="7" t="s">
        <v>100</v>
      </c>
      <c r="D6" s="7" t="s">
        <v>101</v>
      </c>
      <c r="E6" s="7" t="s">
        <v>102</v>
      </c>
      <c r="F6" s="8" t="s">
        <v>103</v>
      </c>
      <c r="G6" s="9" t="s">
        <v>104</v>
      </c>
      <c r="H6" s="7" t="s">
        <v>9</v>
      </c>
      <c r="I6" s="7" t="s">
        <v>105</v>
      </c>
      <c r="J6" s="7" t="s">
        <v>106</v>
      </c>
      <c r="K6" s="1"/>
      <c r="L6" s="1"/>
      <c r="M6" s="1"/>
      <c r="N6" s="1"/>
      <c r="O6" s="1"/>
      <c r="P6" s="1"/>
      <c r="Q6" s="1"/>
      <c r="R6" s="1"/>
      <c r="S6" s="1"/>
      <c r="T6" s="1"/>
      <c r="U6" s="1"/>
      <c r="V6" s="1"/>
      <c r="W6" s="1"/>
      <c r="X6" s="1"/>
      <c r="Y6" s="1"/>
      <c r="Z6" s="1"/>
    </row>
    <row r="7" ht="14.25" customHeight="1">
      <c r="A7" s="10" t="s">
        <v>12</v>
      </c>
      <c r="B7" s="11" t="s">
        <v>13</v>
      </c>
      <c r="C7" s="35" t="s">
        <v>107</v>
      </c>
      <c r="D7" s="36" t="s">
        <v>108</v>
      </c>
      <c r="E7" s="14">
        <v>350000.0</v>
      </c>
      <c r="F7" s="14">
        <f t="shared" ref="F7:F9" si="1">E7*0.19</f>
        <v>66500</v>
      </c>
      <c r="G7" s="37">
        <f t="shared" ref="G7:G9" si="2">H7/3835</f>
        <v>108.6049544</v>
      </c>
      <c r="H7" s="16">
        <f t="shared" ref="H7:H9" si="3">E7+F7</f>
        <v>416500</v>
      </c>
      <c r="I7" s="17" t="s">
        <v>17</v>
      </c>
      <c r="J7" s="18" t="s">
        <v>109</v>
      </c>
      <c r="K7" s="1"/>
      <c r="L7" s="1"/>
      <c r="M7" s="1"/>
      <c r="N7" s="1"/>
      <c r="O7" s="1"/>
      <c r="P7" s="1"/>
      <c r="Q7" s="1"/>
      <c r="R7" s="1"/>
      <c r="S7" s="1"/>
      <c r="T7" s="1"/>
      <c r="U7" s="1"/>
      <c r="V7" s="1"/>
      <c r="W7" s="1"/>
      <c r="X7" s="1"/>
      <c r="Y7" s="1"/>
      <c r="Z7" s="1"/>
    </row>
    <row r="8" ht="14.25" customHeight="1">
      <c r="A8" s="10" t="s">
        <v>19</v>
      </c>
      <c r="B8" s="19" t="s">
        <v>45</v>
      </c>
      <c r="C8" s="38" t="s">
        <v>110</v>
      </c>
      <c r="D8" s="39" t="s">
        <v>111</v>
      </c>
      <c r="E8" s="14">
        <v>200000.0</v>
      </c>
      <c r="F8" s="14">
        <f t="shared" si="1"/>
        <v>38000</v>
      </c>
      <c r="G8" s="37">
        <f t="shared" si="2"/>
        <v>62.05997392</v>
      </c>
      <c r="H8" s="16">
        <f t="shared" si="3"/>
        <v>238000</v>
      </c>
      <c r="I8" s="17" t="s">
        <v>17</v>
      </c>
      <c r="J8" s="18" t="s">
        <v>112</v>
      </c>
      <c r="K8" s="1"/>
      <c r="L8" s="1"/>
      <c r="M8" s="1"/>
      <c r="N8" s="1"/>
      <c r="O8" s="1"/>
      <c r="P8" s="1"/>
      <c r="Q8" s="1"/>
      <c r="R8" s="1"/>
      <c r="S8" s="1"/>
      <c r="T8" s="1"/>
      <c r="U8" s="1"/>
      <c r="V8" s="1"/>
      <c r="W8" s="1"/>
      <c r="X8" s="1"/>
      <c r="Y8" s="1"/>
      <c r="Z8" s="1"/>
    </row>
    <row r="9" ht="14.25" customHeight="1">
      <c r="A9" s="10" t="s">
        <v>25</v>
      </c>
      <c r="B9" s="11" t="s">
        <v>26</v>
      </c>
      <c r="C9" s="38" t="s">
        <v>113</v>
      </c>
      <c r="D9" s="40" t="s">
        <v>114</v>
      </c>
      <c r="E9" s="14">
        <v>270000.0</v>
      </c>
      <c r="F9" s="14">
        <f t="shared" si="1"/>
        <v>51300</v>
      </c>
      <c r="G9" s="37">
        <f t="shared" si="2"/>
        <v>83.7809648</v>
      </c>
      <c r="H9" s="16">
        <f t="shared" si="3"/>
        <v>321300</v>
      </c>
      <c r="I9" s="17" t="s">
        <v>17</v>
      </c>
      <c r="J9" s="18" t="s">
        <v>115</v>
      </c>
      <c r="K9" s="1"/>
      <c r="L9" s="1"/>
      <c r="M9" s="1"/>
      <c r="N9" s="1"/>
      <c r="O9" s="1"/>
      <c r="P9" s="1"/>
      <c r="Q9" s="1"/>
      <c r="R9" s="1"/>
      <c r="S9" s="1"/>
      <c r="T9" s="1"/>
      <c r="U9" s="1"/>
      <c r="V9" s="1"/>
      <c r="W9" s="1"/>
      <c r="X9" s="1"/>
      <c r="Y9" s="1"/>
      <c r="Z9" s="1"/>
    </row>
    <row r="10" ht="14.25" customHeight="1">
      <c r="A10" s="24"/>
      <c r="B10" s="25"/>
      <c r="C10" s="25"/>
      <c r="D10" s="25"/>
      <c r="E10" s="25"/>
      <c r="F10" s="25"/>
      <c r="G10" s="25"/>
      <c r="H10" s="25"/>
      <c r="I10" s="25"/>
      <c r="J10" s="25"/>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26" t="s">
        <v>116</v>
      </c>
      <c r="B12" s="4"/>
      <c r="C12" s="4"/>
      <c r="D12" s="4"/>
      <c r="E12" s="4"/>
      <c r="F12" s="4"/>
      <c r="G12" s="4"/>
      <c r="H12" s="4"/>
      <c r="I12" s="4"/>
      <c r="J12" s="5"/>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26" t="s">
        <v>117</v>
      </c>
      <c r="B14" s="4"/>
      <c r="C14" s="4"/>
      <c r="D14" s="4"/>
      <c r="E14" s="4"/>
      <c r="F14" s="4"/>
      <c r="G14" s="4"/>
      <c r="H14" s="4"/>
      <c r="I14" s="4"/>
      <c r="J14" s="5"/>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D1:H1"/>
    <mergeCell ref="A4:J4"/>
    <mergeCell ref="A12:J12"/>
    <mergeCell ref="A14:J14"/>
  </mergeCells>
  <hyperlinks>
    <hyperlink r:id="rId1" location="polycard_client=search-nordic&amp;search_layout=grid&amp;position=6&amp;type=product&amp;tracking_id=97f77305-112d-4f02-a2a2-065487622207&amp;wid=MCO1804016780&amp;sid=search" ref="C7"/>
    <hyperlink r:id="rId2" ref="C8"/>
    <hyperlink r:id="rId3" ref="C9"/>
  </hyperlinks>
  <printOptions/>
  <pageMargins bottom="0.75" footer="0.0" header="0.0" left="0.7" right="0.7" top="0.75"/>
  <pageSetup paperSize="9"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0.63"/>
  </cols>
  <sheetData>
    <row r="1" ht="14.25" customHeight="1">
      <c r="A1" s="34"/>
      <c r="B1" s="1"/>
      <c r="C1" s="1"/>
      <c r="D1" s="2" t="s">
        <v>0</v>
      </c>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3" t="s">
        <v>1</v>
      </c>
      <c r="B4" s="4"/>
      <c r="C4" s="4"/>
      <c r="D4" s="4"/>
      <c r="E4" s="4"/>
      <c r="F4" s="4"/>
      <c r="G4" s="4"/>
      <c r="H4" s="4"/>
      <c r="I4" s="4"/>
      <c r="J4" s="5"/>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6" t="s">
        <v>2</v>
      </c>
      <c r="B6" s="7" t="s">
        <v>118</v>
      </c>
      <c r="C6" s="7" t="s">
        <v>119</v>
      </c>
      <c r="D6" s="7" t="s">
        <v>120</v>
      </c>
      <c r="E6" s="7" t="s">
        <v>121</v>
      </c>
      <c r="F6" s="8" t="s">
        <v>122</v>
      </c>
      <c r="G6" s="9" t="s">
        <v>123</v>
      </c>
      <c r="H6" s="7" t="s">
        <v>9</v>
      </c>
      <c r="I6" s="7" t="s">
        <v>124</v>
      </c>
      <c r="J6" s="7" t="s">
        <v>125</v>
      </c>
      <c r="K6" s="1"/>
      <c r="L6" s="1"/>
      <c r="M6" s="1"/>
      <c r="N6" s="1"/>
      <c r="O6" s="1"/>
      <c r="P6" s="1"/>
      <c r="Q6" s="1"/>
      <c r="R6" s="1"/>
      <c r="S6" s="1"/>
      <c r="T6" s="1"/>
      <c r="U6" s="1"/>
      <c r="V6" s="1"/>
      <c r="W6" s="1"/>
      <c r="X6" s="1"/>
      <c r="Y6" s="1"/>
      <c r="Z6" s="1"/>
    </row>
    <row r="7" ht="14.25" customHeight="1">
      <c r="A7" s="10" t="s">
        <v>12</v>
      </c>
      <c r="B7" s="11" t="s">
        <v>13</v>
      </c>
      <c r="C7" s="35" t="s">
        <v>126</v>
      </c>
      <c r="D7" s="36" t="s">
        <v>127</v>
      </c>
      <c r="E7" s="14">
        <v>542000.0</v>
      </c>
      <c r="F7" s="14">
        <f t="shared" ref="F7:F9" si="1">E7*0.19</f>
        <v>102980</v>
      </c>
      <c r="G7" s="37">
        <f t="shared" ref="G7:G9" si="2">H7/3835</f>
        <v>168.1825293</v>
      </c>
      <c r="H7" s="16">
        <f t="shared" ref="H7:H9" si="3">E7+F7</f>
        <v>644980</v>
      </c>
      <c r="I7" s="17" t="s">
        <v>17</v>
      </c>
      <c r="J7" s="18" t="s">
        <v>128</v>
      </c>
      <c r="K7" s="1"/>
      <c r="L7" s="1"/>
      <c r="M7" s="1"/>
      <c r="N7" s="1"/>
      <c r="O7" s="1"/>
      <c r="P7" s="1"/>
      <c r="Q7" s="1"/>
      <c r="R7" s="1"/>
      <c r="S7" s="1"/>
      <c r="T7" s="1"/>
      <c r="U7" s="1"/>
      <c r="V7" s="1"/>
      <c r="W7" s="1"/>
      <c r="X7" s="1"/>
      <c r="Y7" s="1"/>
      <c r="Z7" s="1"/>
    </row>
    <row r="8" ht="14.25" customHeight="1">
      <c r="A8" s="10" t="s">
        <v>19</v>
      </c>
      <c r="B8" s="19" t="s">
        <v>45</v>
      </c>
      <c r="C8" s="41" t="s">
        <v>129</v>
      </c>
      <c r="D8" s="42" t="s">
        <v>130</v>
      </c>
      <c r="E8" s="14">
        <v>800000.0</v>
      </c>
      <c r="F8" s="14">
        <f t="shared" si="1"/>
        <v>152000</v>
      </c>
      <c r="G8" s="37">
        <f t="shared" si="2"/>
        <v>248.2398957</v>
      </c>
      <c r="H8" s="16">
        <f t="shared" si="3"/>
        <v>952000</v>
      </c>
      <c r="I8" s="17" t="s">
        <v>17</v>
      </c>
      <c r="J8" s="18" t="s">
        <v>131</v>
      </c>
      <c r="K8" s="1"/>
      <c r="L8" s="1"/>
      <c r="M8" s="1"/>
      <c r="N8" s="1"/>
      <c r="O8" s="1"/>
      <c r="P8" s="1"/>
      <c r="Q8" s="1"/>
      <c r="R8" s="1"/>
      <c r="S8" s="1"/>
      <c r="T8" s="1"/>
      <c r="U8" s="1"/>
      <c r="V8" s="1"/>
      <c r="W8" s="1"/>
      <c r="X8" s="1"/>
      <c r="Y8" s="1"/>
      <c r="Z8" s="1"/>
    </row>
    <row r="9" ht="14.25" customHeight="1">
      <c r="A9" s="10" t="s">
        <v>25</v>
      </c>
      <c r="B9" s="11" t="s">
        <v>26</v>
      </c>
      <c r="C9" s="43" t="s">
        <v>132</v>
      </c>
      <c r="D9" s="44" t="s">
        <v>133</v>
      </c>
      <c r="E9" s="14">
        <v>490000.0</v>
      </c>
      <c r="F9" s="14">
        <f t="shared" si="1"/>
        <v>93100</v>
      </c>
      <c r="G9" s="37">
        <f t="shared" si="2"/>
        <v>152.0469361</v>
      </c>
      <c r="H9" s="16">
        <f t="shared" si="3"/>
        <v>583100</v>
      </c>
      <c r="I9" s="17" t="s">
        <v>17</v>
      </c>
      <c r="J9" s="18" t="s">
        <v>128</v>
      </c>
      <c r="K9" s="1"/>
      <c r="L9" s="1"/>
      <c r="M9" s="1"/>
      <c r="N9" s="1"/>
      <c r="O9" s="1"/>
      <c r="P9" s="1"/>
      <c r="Q9" s="1"/>
      <c r="R9" s="1"/>
      <c r="S9" s="1"/>
      <c r="T9" s="1"/>
      <c r="U9" s="1"/>
      <c r="V9" s="1"/>
      <c r="W9" s="1"/>
      <c r="X9" s="1"/>
      <c r="Y9" s="1"/>
      <c r="Z9" s="1"/>
    </row>
    <row r="10" ht="14.25" customHeight="1">
      <c r="A10" s="24"/>
      <c r="B10" s="25"/>
      <c r="C10" s="25"/>
      <c r="D10" s="25"/>
      <c r="E10" s="25"/>
      <c r="F10" s="25"/>
      <c r="G10" s="25"/>
      <c r="H10" s="25"/>
      <c r="I10" s="25"/>
      <c r="J10" s="25"/>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26" t="s">
        <v>134</v>
      </c>
      <c r="B12" s="4"/>
      <c r="C12" s="4"/>
      <c r="D12" s="4"/>
      <c r="E12" s="4"/>
      <c r="F12" s="4"/>
      <c r="G12" s="4"/>
      <c r="H12" s="4"/>
      <c r="I12" s="4"/>
      <c r="J12" s="5"/>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26" t="s">
        <v>135</v>
      </c>
      <c r="B14" s="4"/>
      <c r="C14" s="4"/>
      <c r="D14" s="4"/>
      <c r="E14" s="4"/>
      <c r="F14" s="4"/>
      <c r="G14" s="4"/>
      <c r="H14" s="4"/>
      <c r="I14" s="4"/>
      <c r="J14" s="5"/>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D1:H1"/>
    <mergeCell ref="A4:J4"/>
    <mergeCell ref="A12:J12"/>
    <mergeCell ref="A14:J14"/>
  </mergeCells>
  <hyperlinks>
    <hyperlink r:id="rId1" location="polycard_client=search-nordic&amp;search_layout=grid&amp;position=20&amp;type=product&amp;tracking_id=b48a02d1-3720-4cfc-91fc-e915aeed302c&amp;wid=MCO1164805894&amp;sid=search" ref="C7"/>
    <hyperlink r:id="rId2" ref="C8"/>
    <hyperlink r:id="rId3" ref="C9"/>
  </hyperlinks>
  <printOptions/>
  <pageMargins bottom="0.75" footer="0.0" header="0.0" left="0.7" right="0.7" top="0.75"/>
  <pageSetup paperSize="9" orientation="portrait"/>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0.63"/>
  </cols>
  <sheetData>
    <row r="1" ht="14.25" customHeight="1">
      <c r="A1" s="34"/>
      <c r="B1" s="1"/>
      <c r="C1" s="1"/>
      <c r="D1" s="2" t="s">
        <v>0</v>
      </c>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3" t="s">
        <v>1</v>
      </c>
      <c r="B4" s="4"/>
      <c r="C4" s="4"/>
      <c r="D4" s="4"/>
      <c r="E4" s="4"/>
      <c r="F4" s="4"/>
      <c r="G4" s="4"/>
      <c r="H4" s="4"/>
      <c r="I4" s="4"/>
      <c r="J4" s="5"/>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6" t="s">
        <v>2</v>
      </c>
      <c r="B6" s="7" t="s">
        <v>136</v>
      </c>
      <c r="C6" s="7" t="s">
        <v>137</v>
      </c>
      <c r="D6" s="7" t="s">
        <v>138</v>
      </c>
      <c r="E6" s="7" t="s">
        <v>139</v>
      </c>
      <c r="F6" s="8" t="s">
        <v>140</v>
      </c>
      <c r="G6" s="9" t="s">
        <v>141</v>
      </c>
      <c r="H6" s="7" t="s">
        <v>9</v>
      </c>
      <c r="I6" s="7" t="s">
        <v>142</v>
      </c>
      <c r="J6" s="7" t="s">
        <v>143</v>
      </c>
      <c r="K6" s="1"/>
      <c r="L6" s="1"/>
      <c r="M6" s="1"/>
      <c r="N6" s="1"/>
      <c r="O6" s="1"/>
      <c r="P6" s="1"/>
      <c r="Q6" s="1"/>
      <c r="R6" s="1"/>
      <c r="S6" s="1"/>
      <c r="T6" s="1"/>
      <c r="U6" s="1"/>
      <c r="V6" s="1"/>
      <c r="W6" s="1"/>
      <c r="X6" s="1"/>
      <c r="Y6" s="1"/>
      <c r="Z6" s="1"/>
    </row>
    <row r="7" ht="14.25" customHeight="1">
      <c r="A7" s="10" t="s">
        <v>12</v>
      </c>
      <c r="B7" s="11" t="s">
        <v>13</v>
      </c>
      <c r="C7" s="41" t="s">
        <v>144</v>
      </c>
      <c r="D7" s="45" t="s">
        <v>145</v>
      </c>
      <c r="E7" s="14">
        <v>278000.0</v>
      </c>
      <c r="F7" s="14">
        <f t="shared" ref="F7:F9" si="1">E7*0.19</f>
        <v>52820</v>
      </c>
      <c r="G7" s="37">
        <f t="shared" ref="G7:G9" si="2">H7/3835</f>
        <v>86.26336375</v>
      </c>
      <c r="H7" s="16">
        <f t="shared" ref="H7:H9" si="3">E7+F7</f>
        <v>330820</v>
      </c>
      <c r="I7" s="17" t="s">
        <v>17</v>
      </c>
      <c r="J7" s="18" t="s">
        <v>146</v>
      </c>
      <c r="K7" s="1"/>
      <c r="L7" s="1"/>
      <c r="M7" s="1"/>
      <c r="N7" s="1"/>
      <c r="O7" s="1"/>
      <c r="P7" s="1"/>
      <c r="Q7" s="1"/>
      <c r="R7" s="1"/>
      <c r="S7" s="1"/>
      <c r="T7" s="1"/>
      <c r="U7" s="1"/>
      <c r="V7" s="1"/>
      <c r="W7" s="1"/>
      <c r="X7" s="1"/>
      <c r="Y7" s="1"/>
      <c r="Z7" s="1"/>
    </row>
    <row r="8" ht="14.25" customHeight="1">
      <c r="A8" s="10" t="s">
        <v>19</v>
      </c>
      <c r="B8" s="19" t="s">
        <v>45</v>
      </c>
      <c r="C8" s="41" t="s">
        <v>147</v>
      </c>
      <c r="D8" s="42" t="s">
        <v>148</v>
      </c>
      <c r="E8" s="14">
        <v>370000.0</v>
      </c>
      <c r="F8" s="14">
        <f t="shared" si="1"/>
        <v>70300</v>
      </c>
      <c r="G8" s="37">
        <f t="shared" si="2"/>
        <v>114.8109518</v>
      </c>
      <c r="H8" s="16">
        <f t="shared" si="3"/>
        <v>440300</v>
      </c>
      <c r="I8" s="17" t="s">
        <v>17</v>
      </c>
      <c r="J8" s="18" t="s">
        <v>149</v>
      </c>
      <c r="K8" s="1"/>
      <c r="L8" s="1"/>
      <c r="M8" s="1"/>
      <c r="N8" s="1"/>
      <c r="O8" s="1"/>
      <c r="P8" s="1"/>
      <c r="Q8" s="1"/>
      <c r="R8" s="1"/>
      <c r="S8" s="1"/>
      <c r="T8" s="1"/>
      <c r="U8" s="1"/>
      <c r="V8" s="1"/>
      <c r="W8" s="1"/>
      <c r="X8" s="1"/>
      <c r="Y8" s="1"/>
      <c r="Z8" s="1"/>
    </row>
    <row r="9" ht="14.25" customHeight="1">
      <c r="A9" s="10" t="s">
        <v>25</v>
      </c>
      <c r="B9" s="11" t="s">
        <v>26</v>
      </c>
      <c r="C9" s="41" t="s">
        <v>150</v>
      </c>
      <c r="D9" s="44" t="s">
        <v>151</v>
      </c>
      <c r="E9" s="14">
        <v>460000.0</v>
      </c>
      <c r="F9" s="14">
        <f t="shared" si="1"/>
        <v>87400</v>
      </c>
      <c r="G9" s="37">
        <f t="shared" si="2"/>
        <v>142.73794</v>
      </c>
      <c r="H9" s="16">
        <f t="shared" si="3"/>
        <v>547400</v>
      </c>
      <c r="I9" s="17" t="s">
        <v>17</v>
      </c>
      <c r="J9" s="18" t="s">
        <v>152</v>
      </c>
      <c r="K9" s="1"/>
      <c r="L9" s="1"/>
      <c r="M9" s="1"/>
      <c r="N9" s="1"/>
      <c r="O9" s="1"/>
      <c r="P9" s="1"/>
      <c r="Q9" s="1"/>
      <c r="R9" s="1"/>
      <c r="S9" s="1"/>
      <c r="T9" s="1"/>
      <c r="U9" s="1"/>
      <c r="V9" s="1"/>
      <c r="W9" s="1"/>
      <c r="X9" s="1"/>
      <c r="Y9" s="1"/>
      <c r="Z9" s="1"/>
    </row>
    <row r="10" ht="14.25" customHeight="1">
      <c r="A10" s="24"/>
      <c r="B10" s="25"/>
      <c r="C10" s="25"/>
      <c r="D10" s="25"/>
      <c r="E10" s="25"/>
      <c r="F10" s="25"/>
      <c r="G10" s="25"/>
      <c r="H10" s="25"/>
      <c r="I10" s="25"/>
      <c r="J10" s="25"/>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26" t="s">
        <v>153</v>
      </c>
      <c r="B12" s="4"/>
      <c r="C12" s="4"/>
      <c r="D12" s="4"/>
      <c r="E12" s="4"/>
      <c r="F12" s="4"/>
      <c r="G12" s="4"/>
      <c r="H12" s="4"/>
      <c r="I12" s="4"/>
      <c r="J12" s="5"/>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26" t="s">
        <v>154</v>
      </c>
      <c r="B14" s="4"/>
      <c r="C14" s="4"/>
      <c r="D14" s="4"/>
      <c r="E14" s="4"/>
      <c r="F14" s="4"/>
      <c r="G14" s="4"/>
      <c r="H14" s="4"/>
      <c r="I14" s="4"/>
      <c r="J14" s="5"/>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D1:H1"/>
    <mergeCell ref="A4:J4"/>
    <mergeCell ref="A12:J12"/>
    <mergeCell ref="A14:J14"/>
  </mergeCells>
  <hyperlinks>
    <hyperlink r:id="rId1" location="is_advertising=true&amp;searchVariation=MCO44785716&amp;backend_model=search-backend&amp;position=1&amp;search_layout=grid&amp;type=pad&amp;tracking_id=f4c9555f-f538-4161-afa7-f832ecac5076&amp;ad_domain=VQCATCORE_LST&amp;ad_position=1&amp;ad_click_id=ODNlM2RjZGYtN2Q1Zi00ZTEzLTkwMTctYTI0N2JkOTI3YmNk" ref="C7"/>
    <hyperlink r:id="rId2" ref="C8"/>
    <hyperlink r:id="rId3" ref="C9"/>
  </hyperlinks>
  <printOptions/>
  <pageMargins bottom="0.75" footer="0.0" header="0.0" left="0.7" right="0.7" top="0.75"/>
  <pageSetup paperSize="9" orientation="portrait"/>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0.63"/>
  </cols>
  <sheetData>
    <row r="1" ht="14.25" customHeight="1">
      <c r="A1" s="34"/>
      <c r="B1" s="1"/>
      <c r="C1" s="1"/>
      <c r="D1" s="2" t="s">
        <v>0</v>
      </c>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3" t="s">
        <v>1</v>
      </c>
      <c r="B4" s="4"/>
      <c r="C4" s="4"/>
      <c r="D4" s="4"/>
      <c r="E4" s="4"/>
      <c r="F4" s="4"/>
      <c r="G4" s="4"/>
      <c r="H4" s="4"/>
      <c r="I4" s="4"/>
      <c r="J4" s="5"/>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6" t="s">
        <v>2</v>
      </c>
      <c r="B6" s="7" t="s">
        <v>155</v>
      </c>
      <c r="C6" s="7" t="s">
        <v>156</v>
      </c>
      <c r="D6" s="7" t="s">
        <v>157</v>
      </c>
      <c r="E6" s="7" t="s">
        <v>158</v>
      </c>
      <c r="F6" s="8" t="s">
        <v>159</v>
      </c>
      <c r="G6" s="9" t="s">
        <v>160</v>
      </c>
      <c r="H6" s="7" t="s">
        <v>9</v>
      </c>
      <c r="I6" s="7" t="s">
        <v>161</v>
      </c>
      <c r="J6" s="7" t="s">
        <v>162</v>
      </c>
      <c r="K6" s="1"/>
      <c r="L6" s="1"/>
      <c r="M6" s="1"/>
      <c r="N6" s="1"/>
      <c r="O6" s="1"/>
      <c r="P6" s="1"/>
      <c r="Q6" s="1"/>
      <c r="R6" s="1"/>
      <c r="S6" s="1"/>
      <c r="T6" s="1"/>
      <c r="U6" s="1"/>
      <c r="V6" s="1"/>
      <c r="W6" s="1"/>
      <c r="X6" s="1"/>
      <c r="Y6" s="1"/>
      <c r="Z6" s="1"/>
    </row>
    <row r="7" ht="14.25" customHeight="1">
      <c r="A7" s="10" t="s">
        <v>12</v>
      </c>
      <c r="B7" s="11" t="s">
        <v>13</v>
      </c>
      <c r="C7" s="41" t="s">
        <v>163</v>
      </c>
      <c r="D7" s="45" t="s">
        <v>164</v>
      </c>
      <c r="E7" s="14">
        <v>20000.0</v>
      </c>
      <c r="F7" s="14">
        <f t="shared" ref="F7:F9" si="1">E7*0.19</f>
        <v>3800</v>
      </c>
      <c r="G7" s="37">
        <f t="shared" ref="G7:G9" si="2">H7/3835</f>
        <v>6.205997392</v>
      </c>
      <c r="H7" s="16">
        <f t="shared" ref="H7:H9" si="3">E7+F7</f>
        <v>23800</v>
      </c>
      <c r="I7" s="17" t="s">
        <v>17</v>
      </c>
      <c r="J7" s="18" t="s">
        <v>165</v>
      </c>
      <c r="K7" s="1"/>
      <c r="L7" s="1"/>
      <c r="M7" s="1"/>
      <c r="N7" s="1"/>
      <c r="O7" s="1"/>
      <c r="P7" s="1"/>
      <c r="Q7" s="1"/>
      <c r="R7" s="1"/>
      <c r="S7" s="1"/>
      <c r="T7" s="1"/>
      <c r="U7" s="1"/>
      <c r="V7" s="1"/>
      <c r="W7" s="1"/>
      <c r="X7" s="1"/>
      <c r="Y7" s="1"/>
      <c r="Z7" s="1"/>
    </row>
    <row r="8" ht="14.25" customHeight="1">
      <c r="A8" s="10" t="s">
        <v>19</v>
      </c>
      <c r="B8" s="19" t="s">
        <v>45</v>
      </c>
      <c r="C8" s="41" t="s">
        <v>166</v>
      </c>
      <c r="D8" s="42" t="s">
        <v>167</v>
      </c>
      <c r="E8" s="14">
        <v>100000.0</v>
      </c>
      <c r="F8" s="14">
        <f t="shared" si="1"/>
        <v>19000</v>
      </c>
      <c r="G8" s="37">
        <f t="shared" si="2"/>
        <v>31.02998696</v>
      </c>
      <c r="H8" s="16">
        <f t="shared" si="3"/>
        <v>119000</v>
      </c>
      <c r="I8" s="17" t="s">
        <v>17</v>
      </c>
      <c r="J8" s="18" t="s">
        <v>168</v>
      </c>
      <c r="K8" s="1"/>
      <c r="L8" s="1"/>
      <c r="M8" s="1"/>
      <c r="N8" s="1"/>
      <c r="O8" s="1"/>
      <c r="P8" s="1"/>
      <c r="Q8" s="1"/>
      <c r="R8" s="1"/>
      <c r="S8" s="1"/>
      <c r="T8" s="1"/>
      <c r="U8" s="1"/>
      <c r="V8" s="1"/>
      <c r="W8" s="1"/>
      <c r="X8" s="1"/>
      <c r="Y8" s="1"/>
      <c r="Z8" s="1"/>
    </row>
    <row r="9" ht="14.25" customHeight="1">
      <c r="A9" s="10" t="s">
        <v>25</v>
      </c>
      <c r="B9" s="11" t="s">
        <v>26</v>
      </c>
      <c r="C9" s="41" t="s">
        <v>169</v>
      </c>
      <c r="D9" s="46" t="s">
        <v>170</v>
      </c>
      <c r="E9" s="14">
        <v>80000.0</v>
      </c>
      <c r="F9" s="14">
        <f t="shared" si="1"/>
        <v>15200</v>
      </c>
      <c r="G9" s="37">
        <f t="shared" si="2"/>
        <v>24.82398957</v>
      </c>
      <c r="H9" s="16">
        <f t="shared" si="3"/>
        <v>95200</v>
      </c>
      <c r="I9" s="17" t="s">
        <v>17</v>
      </c>
      <c r="J9" s="18" t="s">
        <v>165</v>
      </c>
      <c r="K9" s="1"/>
      <c r="L9" s="1"/>
      <c r="M9" s="1"/>
      <c r="N9" s="1"/>
      <c r="O9" s="1"/>
      <c r="P9" s="1"/>
      <c r="Q9" s="1"/>
      <c r="R9" s="1"/>
      <c r="S9" s="1"/>
      <c r="T9" s="1"/>
      <c r="U9" s="1"/>
      <c r="V9" s="1"/>
      <c r="W9" s="1"/>
      <c r="X9" s="1"/>
      <c r="Y9" s="1"/>
      <c r="Z9" s="1"/>
    </row>
    <row r="10" ht="14.25" customHeight="1">
      <c r="A10" s="24"/>
      <c r="B10" s="25"/>
      <c r="C10" s="25"/>
      <c r="D10" s="25"/>
      <c r="E10" s="25"/>
      <c r="F10" s="25"/>
      <c r="G10" s="25"/>
      <c r="H10" s="25"/>
      <c r="I10" s="25"/>
      <c r="J10" s="25"/>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26" t="s">
        <v>171</v>
      </c>
      <c r="B12" s="4"/>
      <c r="C12" s="4"/>
      <c r="D12" s="4"/>
      <c r="E12" s="4"/>
      <c r="F12" s="4"/>
      <c r="G12" s="4"/>
      <c r="H12" s="4"/>
      <c r="I12" s="4"/>
      <c r="J12" s="5"/>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26" t="s">
        <v>172</v>
      </c>
      <c r="B14" s="4"/>
      <c r="C14" s="4"/>
      <c r="D14" s="4"/>
      <c r="E14" s="4"/>
      <c r="F14" s="4"/>
      <c r="G14" s="4"/>
      <c r="H14" s="4"/>
      <c r="I14" s="4"/>
      <c r="J14" s="5"/>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D1:H1"/>
    <mergeCell ref="A4:J4"/>
    <mergeCell ref="A12:J12"/>
    <mergeCell ref="A14:J14"/>
  </mergeCells>
  <hyperlinks>
    <hyperlink r:id="rId1" location="polycard_client=search-nordic&amp;search_layout=grid&amp;position=5&amp;type=product&amp;tracking_id=9c7a770c-bbb6-4db6-aee7-2a387772aa01&amp;wid=MCO3052017050&amp;sid=search" ref="C7"/>
    <hyperlink r:id="rId2" ref="C8"/>
    <hyperlink r:id="rId3" ref="C9"/>
  </hyperlinks>
  <printOptions/>
  <pageMargins bottom="0.75" footer="0.0" header="0.0" left="0.7" right="0.7" top="0.75"/>
  <pageSetup paperSize="9" orientation="portrait"/>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0.63"/>
  </cols>
  <sheetData>
    <row r="1" ht="14.25" customHeight="1">
      <c r="A1" s="34"/>
      <c r="B1" s="1"/>
      <c r="C1" s="1"/>
      <c r="D1" s="2" t="s">
        <v>0</v>
      </c>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3" t="s">
        <v>1</v>
      </c>
      <c r="B4" s="4"/>
      <c r="C4" s="4"/>
      <c r="D4" s="4"/>
      <c r="E4" s="4"/>
      <c r="F4" s="4"/>
      <c r="G4" s="4"/>
      <c r="H4" s="4"/>
      <c r="I4" s="4"/>
      <c r="J4" s="5"/>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6" t="s">
        <v>2</v>
      </c>
      <c r="B6" s="7" t="s">
        <v>173</v>
      </c>
      <c r="C6" s="7" t="s">
        <v>174</v>
      </c>
      <c r="D6" s="7" t="s">
        <v>175</v>
      </c>
      <c r="E6" s="7" t="s">
        <v>176</v>
      </c>
      <c r="F6" s="47" t="s">
        <v>177</v>
      </c>
      <c r="G6" s="48" t="s">
        <v>178</v>
      </c>
      <c r="H6" s="7" t="s">
        <v>9</v>
      </c>
      <c r="I6" s="7" t="s">
        <v>179</v>
      </c>
      <c r="J6" s="7" t="s">
        <v>180</v>
      </c>
      <c r="K6" s="1"/>
      <c r="L6" s="1"/>
      <c r="M6" s="1"/>
      <c r="N6" s="1"/>
      <c r="O6" s="1"/>
      <c r="P6" s="1"/>
      <c r="Q6" s="1"/>
      <c r="R6" s="1"/>
      <c r="S6" s="1"/>
      <c r="T6" s="1"/>
      <c r="U6" s="1"/>
      <c r="V6" s="1"/>
      <c r="W6" s="1"/>
      <c r="X6" s="1"/>
      <c r="Y6" s="1"/>
      <c r="Z6" s="1"/>
    </row>
    <row r="7" ht="14.25" customHeight="1">
      <c r="A7" s="10" t="s">
        <v>12</v>
      </c>
      <c r="B7" s="49" t="s">
        <v>181</v>
      </c>
      <c r="C7" s="50" t="s">
        <v>182</v>
      </c>
      <c r="D7" s="51" t="s">
        <v>183</v>
      </c>
      <c r="E7" s="32">
        <v>39900.0</v>
      </c>
      <c r="F7" s="14">
        <f t="shared" ref="F7:F9" si="1">E7*0.19</f>
        <v>7581</v>
      </c>
      <c r="G7" s="37">
        <f t="shared" ref="G7:G9" si="2">H7/3835</f>
        <v>12.3809648</v>
      </c>
      <c r="H7" s="16">
        <f t="shared" ref="H7:H9" si="3">E7+F7</f>
        <v>47481</v>
      </c>
      <c r="I7" s="17" t="s">
        <v>17</v>
      </c>
      <c r="J7" s="52" t="s">
        <v>184</v>
      </c>
      <c r="K7" s="1"/>
      <c r="L7" s="1"/>
      <c r="M7" s="1"/>
      <c r="N7" s="1"/>
      <c r="O7" s="1"/>
      <c r="P7" s="1"/>
      <c r="Q7" s="1"/>
      <c r="R7" s="1"/>
      <c r="S7" s="1"/>
      <c r="T7" s="1"/>
      <c r="U7" s="1"/>
      <c r="V7" s="1"/>
      <c r="W7" s="1"/>
      <c r="X7" s="1"/>
      <c r="Y7" s="1"/>
      <c r="Z7" s="1"/>
    </row>
    <row r="8" ht="14.25" customHeight="1">
      <c r="A8" s="10" t="s">
        <v>19</v>
      </c>
      <c r="B8" s="49" t="s">
        <v>181</v>
      </c>
      <c r="C8" s="50" t="s">
        <v>185</v>
      </c>
      <c r="D8" s="51" t="s">
        <v>186</v>
      </c>
      <c r="E8" s="32">
        <v>36900.0</v>
      </c>
      <c r="F8" s="14">
        <f t="shared" si="1"/>
        <v>7011</v>
      </c>
      <c r="G8" s="37">
        <f t="shared" si="2"/>
        <v>11.45006519</v>
      </c>
      <c r="H8" s="16">
        <f t="shared" si="3"/>
        <v>43911</v>
      </c>
      <c r="I8" s="17" t="s">
        <v>17</v>
      </c>
      <c r="J8" s="52" t="s">
        <v>187</v>
      </c>
      <c r="K8" s="1"/>
      <c r="L8" s="1"/>
      <c r="M8" s="1"/>
      <c r="N8" s="1"/>
      <c r="O8" s="1"/>
      <c r="P8" s="1"/>
      <c r="Q8" s="1"/>
      <c r="R8" s="1"/>
      <c r="S8" s="1"/>
      <c r="T8" s="1"/>
      <c r="U8" s="1"/>
      <c r="V8" s="1"/>
      <c r="W8" s="1"/>
      <c r="X8" s="1"/>
      <c r="Y8" s="1"/>
      <c r="Z8" s="1"/>
    </row>
    <row r="9" ht="14.25" customHeight="1">
      <c r="A9" s="10" t="s">
        <v>25</v>
      </c>
      <c r="B9" s="49" t="s">
        <v>188</v>
      </c>
      <c r="C9" s="50" t="s">
        <v>189</v>
      </c>
      <c r="D9" s="53" t="s">
        <v>183</v>
      </c>
      <c r="E9" s="32">
        <v>35000.0</v>
      </c>
      <c r="F9" s="14">
        <f t="shared" si="1"/>
        <v>6650</v>
      </c>
      <c r="G9" s="37">
        <f t="shared" si="2"/>
        <v>10.86049544</v>
      </c>
      <c r="H9" s="16">
        <f t="shared" si="3"/>
        <v>41650</v>
      </c>
      <c r="I9" s="17" t="s">
        <v>17</v>
      </c>
      <c r="J9" s="52" t="s">
        <v>184</v>
      </c>
      <c r="K9" s="1"/>
      <c r="L9" s="1"/>
      <c r="M9" s="1"/>
      <c r="N9" s="1"/>
      <c r="O9" s="1"/>
      <c r="P9" s="1"/>
      <c r="Q9" s="1"/>
      <c r="R9" s="1"/>
      <c r="S9" s="1"/>
      <c r="T9" s="1"/>
      <c r="U9" s="1"/>
      <c r="V9" s="1"/>
      <c r="W9" s="1"/>
      <c r="X9" s="1"/>
      <c r="Y9" s="1"/>
      <c r="Z9" s="1"/>
    </row>
    <row r="10" ht="14.25" customHeight="1">
      <c r="A10" s="24"/>
      <c r="B10" s="25"/>
      <c r="C10" s="25"/>
      <c r="D10" s="25"/>
      <c r="E10" s="25"/>
      <c r="F10" s="25"/>
      <c r="G10" s="25"/>
      <c r="H10" s="25"/>
      <c r="I10" s="25"/>
      <c r="J10" s="25"/>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26" t="s">
        <v>190</v>
      </c>
      <c r="B12" s="4"/>
      <c r="C12" s="4"/>
      <c r="D12" s="4"/>
      <c r="E12" s="4"/>
      <c r="F12" s="4"/>
      <c r="G12" s="4"/>
      <c r="H12" s="4"/>
      <c r="I12" s="4"/>
      <c r="J12" s="5"/>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26" t="s">
        <v>191</v>
      </c>
      <c r="B14" s="4"/>
      <c r="C14" s="4"/>
      <c r="D14" s="4"/>
      <c r="E14" s="4"/>
      <c r="F14" s="4"/>
      <c r="G14" s="4"/>
      <c r="H14" s="4"/>
      <c r="I14" s="4"/>
      <c r="J14" s="5"/>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D1:H1"/>
    <mergeCell ref="A4:J4"/>
    <mergeCell ref="A12:J12"/>
    <mergeCell ref="A14:J14"/>
  </mergeCells>
  <hyperlinks>
    <hyperlink r:id="rId1" location="is_advertising=true&amp;searchVariation=MCO44785716&amp;backend_model=search-backend&amp;position=1&amp;search_layout=grid&amp;type=pad&amp;tracking_id=f4c9555f-f538-4161-afa7-f832ecac5076&amp;ad_domain=VQCATCORE_LST&amp;ad_position=1&amp;ad_click_id=ODNlM2RjZGYtN2Q1Zi00ZTEzLTkwMTctYTI0N2JkOTI3YmNk" ref="C7"/>
    <hyperlink r:id="rId2" ref="C8"/>
    <hyperlink r:id="rId3" ref="C9"/>
  </hyperlinks>
  <printOptions/>
  <pageMargins bottom="0.75" footer="0.0" header="0.0" left="0.7" right="0.7" top="0.75"/>
  <pageSetup paperSize="9" orientation="portrait"/>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0.63"/>
  </cols>
  <sheetData>
    <row r="1" ht="14.25" customHeight="1">
      <c r="A1" s="34"/>
      <c r="B1" s="1"/>
      <c r="C1" s="1"/>
      <c r="D1" s="2" t="s">
        <v>0</v>
      </c>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3" t="s">
        <v>1</v>
      </c>
      <c r="B4" s="4"/>
      <c r="C4" s="4"/>
      <c r="D4" s="4"/>
      <c r="E4" s="4"/>
      <c r="F4" s="4"/>
      <c r="G4" s="4"/>
      <c r="H4" s="4"/>
      <c r="I4" s="4"/>
      <c r="J4" s="5"/>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6" t="s">
        <v>2</v>
      </c>
      <c r="B6" s="7" t="s">
        <v>192</v>
      </c>
      <c r="C6" s="7" t="s">
        <v>193</v>
      </c>
      <c r="D6" s="7" t="s">
        <v>194</v>
      </c>
      <c r="E6" s="7" t="s">
        <v>195</v>
      </c>
      <c r="F6" s="47" t="s">
        <v>196</v>
      </c>
      <c r="G6" s="48" t="s">
        <v>197</v>
      </c>
      <c r="H6" s="7" t="s">
        <v>9</v>
      </c>
      <c r="I6" s="7" t="s">
        <v>198</v>
      </c>
      <c r="J6" s="7" t="s">
        <v>199</v>
      </c>
      <c r="K6" s="1"/>
      <c r="L6" s="1"/>
      <c r="M6" s="1"/>
      <c r="N6" s="1"/>
      <c r="O6" s="1"/>
      <c r="P6" s="1"/>
      <c r="Q6" s="1"/>
      <c r="R6" s="1"/>
      <c r="S6" s="1"/>
      <c r="T6" s="1"/>
      <c r="U6" s="1"/>
      <c r="V6" s="1"/>
      <c r="W6" s="1"/>
      <c r="X6" s="1"/>
      <c r="Y6" s="1"/>
      <c r="Z6" s="1"/>
    </row>
    <row r="7" ht="14.25" customHeight="1">
      <c r="A7" s="10" t="s">
        <v>12</v>
      </c>
      <c r="B7" s="49" t="s">
        <v>188</v>
      </c>
      <c r="C7" s="50" t="s">
        <v>200</v>
      </c>
      <c r="D7" s="51" t="s">
        <v>201</v>
      </c>
      <c r="E7" s="32">
        <v>35000.0</v>
      </c>
      <c r="F7" s="14">
        <f t="shared" ref="F7:F9" si="1">E7*0.19</f>
        <v>6650</v>
      </c>
      <c r="G7" s="37">
        <f t="shared" ref="G7:G9" si="2">H7/3835</f>
        <v>10.86049544</v>
      </c>
      <c r="H7" s="16">
        <f t="shared" ref="H7:H9" si="3">E7+F7</f>
        <v>41650</v>
      </c>
      <c r="I7" s="17" t="s">
        <v>17</v>
      </c>
      <c r="J7" s="52" t="s">
        <v>202</v>
      </c>
      <c r="K7" s="1"/>
      <c r="L7" s="1"/>
      <c r="M7" s="1"/>
      <c r="N7" s="1"/>
      <c r="O7" s="1"/>
      <c r="P7" s="1"/>
      <c r="Q7" s="1"/>
      <c r="R7" s="1"/>
      <c r="S7" s="1"/>
      <c r="T7" s="1"/>
      <c r="U7" s="1"/>
      <c r="V7" s="1"/>
      <c r="W7" s="1"/>
      <c r="X7" s="1"/>
      <c r="Y7" s="1"/>
      <c r="Z7" s="1"/>
    </row>
    <row r="8" ht="14.25" customHeight="1">
      <c r="A8" s="10" t="s">
        <v>19</v>
      </c>
      <c r="B8" s="49" t="s">
        <v>203</v>
      </c>
      <c r="C8" s="50" t="s">
        <v>204</v>
      </c>
      <c r="D8" s="51" t="s">
        <v>205</v>
      </c>
      <c r="E8" s="32">
        <v>34971.0</v>
      </c>
      <c r="F8" s="14">
        <f t="shared" si="1"/>
        <v>6644.49</v>
      </c>
      <c r="G8" s="37">
        <f t="shared" si="2"/>
        <v>10.85149674</v>
      </c>
      <c r="H8" s="16">
        <f t="shared" si="3"/>
        <v>41615.49</v>
      </c>
      <c r="I8" s="17" t="s">
        <v>17</v>
      </c>
      <c r="J8" s="52" t="s">
        <v>202</v>
      </c>
      <c r="K8" s="1"/>
      <c r="L8" s="1"/>
      <c r="M8" s="1"/>
      <c r="N8" s="1"/>
      <c r="O8" s="1"/>
      <c r="P8" s="1"/>
      <c r="Q8" s="1"/>
      <c r="R8" s="1"/>
      <c r="S8" s="1"/>
      <c r="T8" s="1"/>
      <c r="U8" s="1"/>
      <c r="V8" s="1"/>
      <c r="W8" s="1"/>
      <c r="X8" s="1"/>
      <c r="Y8" s="1"/>
      <c r="Z8" s="1"/>
    </row>
    <row r="9" ht="14.25" customHeight="1">
      <c r="A9" s="10" t="s">
        <v>25</v>
      </c>
      <c r="B9" s="49" t="s">
        <v>206</v>
      </c>
      <c r="C9" s="50" t="s">
        <v>207</v>
      </c>
      <c r="D9" s="53" t="s">
        <v>208</v>
      </c>
      <c r="E9" s="32">
        <v>56990.0</v>
      </c>
      <c r="F9" s="14">
        <f t="shared" si="1"/>
        <v>10828.1</v>
      </c>
      <c r="G9" s="37">
        <f t="shared" si="2"/>
        <v>17.68398957</v>
      </c>
      <c r="H9" s="16">
        <f t="shared" si="3"/>
        <v>67818.1</v>
      </c>
      <c r="I9" s="17" t="s">
        <v>17</v>
      </c>
      <c r="J9" s="52" t="s">
        <v>202</v>
      </c>
      <c r="K9" s="1"/>
      <c r="L9" s="1"/>
      <c r="M9" s="1"/>
      <c r="N9" s="1"/>
      <c r="O9" s="1"/>
      <c r="P9" s="1"/>
      <c r="Q9" s="1"/>
      <c r="R9" s="1"/>
      <c r="S9" s="1"/>
      <c r="T9" s="1"/>
      <c r="U9" s="1"/>
      <c r="V9" s="1"/>
      <c r="W9" s="1"/>
      <c r="X9" s="1"/>
      <c r="Y9" s="1"/>
      <c r="Z9" s="1"/>
    </row>
    <row r="10" ht="14.25" customHeight="1">
      <c r="A10" s="24"/>
      <c r="B10" s="25"/>
      <c r="C10" s="25"/>
      <c r="D10" s="25"/>
      <c r="E10" s="25"/>
      <c r="F10" s="25"/>
      <c r="G10" s="25"/>
      <c r="H10" s="25"/>
      <c r="I10" s="25"/>
      <c r="J10" s="25"/>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26" t="s">
        <v>209</v>
      </c>
      <c r="B12" s="4"/>
      <c r="C12" s="4"/>
      <c r="D12" s="4"/>
      <c r="E12" s="4"/>
      <c r="F12" s="4"/>
      <c r="G12" s="4"/>
      <c r="H12" s="4"/>
      <c r="I12" s="4"/>
      <c r="J12" s="5"/>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26" t="s">
        <v>210</v>
      </c>
      <c r="B14" s="4"/>
      <c r="C14" s="4"/>
      <c r="D14" s="4"/>
      <c r="E14" s="4"/>
      <c r="F14" s="4"/>
      <c r="G14" s="4"/>
      <c r="H14" s="4"/>
      <c r="I14" s="4"/>
      <c r="J14" s="5"/>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D1:H1"/>
    <mergeCell ref="A4:J4"/>
    <mergeCell ref="A12:J12"/>
    <mergeCell ref="A14:J14"/>
  </mergeCells>
  <hyperlinks>
    <hyperlink r:id="rId1" location="is_advertising=true&amp;searchVariation=MCO44785716&amp;backend_model=search-backend&amp;position=1&amp;search_layout=grid&amp;type=pad&amp;tracking_id=f4c9555f-f538-4161-afa7-f832ecac5076&amp;ad_domain=VQCATCORE_LST&amp;ad_position=1&amp;ad_click_id=ODNlM2RjZGYtN2Q1Zi00ZTEzLTkwMTctYTI0N2JkOTI3YmNk" ref="C7"/>
    <hyperlink r:id="rId2" ref="C8"/>
    <hyperlink r:id="rId3" ref="C9"/>
  </hyperlinks>
  <printOptions/>
  <pageMargins bottom="0.75" footer="0.0" header="0.0" left="0.7" right="0.7" top="0.75"/>
  <pageSetup paperSize="9" orientation="portrait"/>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0.63"/>
  </cols>
  <sheetData>
    <row r="1" ht="14.25" customHeight="1">
      <c r="A1" s="34"/>
      <c r="B1" s="1"/>
      <c r="C1" s="1"/>
      <c r="D1" s="2" t="s">
        <v>0</v>
      </c>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3" t="s">
        <v>1</v>
      </c>
      <c r="B4" s="4"/>
      <c r="C4" s="4"/>
      <c r="D4" s="4"/>
      <c r="E4" s="4"/>
      <c r="F4" s="4"/>
      <c r="G4" s="4"/>
      <c r="H4" s="4"/>
      <c r="I4" s="4"/>
      <c r="J4" s="5"/>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6" t="s">
        <v>2</v>
      </c>
      <c r="B6" s="7" t="s">
        <v>211</v>
      </c>
      <c r="C6" s="7" t="s">
        <v>212</v>
      </c>
      <c r="D6" s="7" t="s">
        <v>213</v>
      </c>
      <c r="E6" s="7" t="s">
        <v>214</v>
      </c>
      <c r="F6" s="47" t="s">
        <v>215</v>
      </c>
      <c r="G6" s="48" t="s">
        <v>216</v>
      </c>
      <c r="H6" s="7" t="s">
        <v>9</v>
      </c>
      <c r="I6" s="7" t="s">
        <v>217</v>
      </c>
      <c r="J6" s="7" t="s">
        <v>218</v>
      </c>
      <c r="K6" s="1"/>
      <c r="L6" s="1"/>
      <c r="M6" s="1"/>
      <c r="N6" s="1"/>
      <c r="O6" s="1"/>
      <c r="P6" s="1"/>
      <c r="Q6" s="1"/>
      <c r="R6" s="1"/>
      <c r="S6" s="1"/>
      <c r="T6" s="1"/>
      <c r="U6" s="1"/>
      <c r="V6" s="1"/>
      <c r="W6" s="1"/>
      <c r="X6" s="1"/>
      <c r="Y6" s="1"/>
      <c r="Z6" s="1"/>
    </row>
    <row r="7" ht="14.25" customHeight="1">
      <c r="A7" s="10" t="s">
        <v>12</v>
      </c>
      <c r="B7" s="49" t="s">
        <v>219</v>
      </c>
      <c r="C7" s="50" t="s">
        <v>220</v>
      </c>
      <c r="D7" s="51" t="s">
        <v>221</v>
      </c>
      <c r="E7" s="32">
        <v>94899.0</v>
      </c>
      <c r="F7" s="14">
        <f t="shared" ref="F7:F9" si="1">E7*0.19</f>
        <v>18030.81</v>
      </c>
      <c r="G7" s="37">
        <f t="shared" ref="G7:G9" si="2">H7/3835</f>
        <v>29.44714733</v>
      </c>
      <c r="H7" s="16">
        <f t="shared" ref="H7:H9" si="3">E7+F7</f>
        <v>112929.81</v>
      </c>
      <c r="I7" s="17" t="s">
        <v>17</v>
      </c>
      <c r="J7" s="52" t="s">
        <v>222</v>
      </c>
      <c r="K7" s="1"/>
      <c r="L7" s="1"/>
      <c r="M7" s="1"/>
      <c r="N7" s="1"/>
      <c r="O7" s="1"/>
      <c r="P7" s="1"/>
      <c r="Q7" s="1"/>
      <c r="R7" s="1"/>
      <c r="S7" s="1"/>
      <c r="T7" s="1"/>
      <c r="U7" s="1"/>
      <c r="V7" s="1"/>
      <c r="W7" s="1"/>
      <c r="X7" s="1"/>
      <c r="Y7" s="1"/>
      <c r="Z7" s="1"/>
    </row>
    <row r="8" ht="14.25" customHeight="1">
      <c r="A8" s="10" t="s">
        <v>19</v>
      </c>
      <c r="B8" s="49" t="s">
        <v>223</v>
      </c>
      <c r="C8" s="50" t="s">
        <v>224</v>
      </c>
      <c r="D8" s="51" t="s">
        <v>225</v>
      </c>
      <c r="E8" s="32">
        <v>159950.0</v>
      </c>
      <c r="F8" s="14">
        <f t="shared" si="1"/>
        <v>30390.5</v>
      </c>
      <c r="G8" s="37">
        <f t="shared" si="2"/>
        <v>49.63246415</v>
      </c>
      <c r="H8" s="16">
        <f t="shared" si="3"/>
        <v>190340.5</v>
      </c>
      <c r="I8" s="17" t="s">
        <v>17</v>
      </c>
      <c r="J8" s="52" t="s">
        <v>222</v>
      </c>
      <c r="K8" s="1"/>
      <c r="L8" s="1"/>
      <c r="M8" s="1"/>
      <c r="N8" s="1"/>
      <c r="O8" s="1"/>
      <c r="P8" s="1"/>
      <c r="Q8" s="1"/>
      <c r="R8" s="1"/>
      <c r="S8" s="1"/>
      <c r="T8" s="1"/>
      <c r="U8" s="1"/>
      <c r="V8" s="1"/>
      <c r="W8" s="1"/>
      <c r="X8" s="1"/>
      <c r="Y8" s="1"/>
      <c r="Z8" s="1"/>
    </row>
    <row r="9" ht="14.25" customHeight="1">
      <c r="A9" s="10" t="s">
        <v>25</v>
      </c>
      <c r="B9" s="49" t="s">
        <v>226</v>
      </c>
      <c r="C9" s="50" t="s">
        <v>227</v>
      </c>
      <c r="D9" s="53" t="s">
        <v>228</v>
      </c>
      <c r="E9" s="32">
        <v>229900.0</v>
      </c>
      <c r="F9" s="14">
        <f t="shared" si="1"/>
        <v>43681</v>
      </c>
      <c r="G9" s="37">
        <f t="shared" si="2"/>
        <v>71.33794003</v>
      </c>
      <c r="H9" s="16">
        <f t="shared" si="3"/>
        <v>273581</v>
      </c>
      <c r="I9" s="17" t="s">
        <v>17</v>
      </c>
      <c r="J9" s="52" t="s">
        <v>229</v>
      </c>
      <c r="K9" s="1"/>
      <c r="L9" s="1"/>
      <c r="M9" s="1"/>
      <c r="N9" s="1"/>
      <c r="O9" s="1"/>
      <c r="P9" s="1"/>
      <c r="Q9" s="1"/>
      <c r="R9" s="1"/>
      <c r="S9" s="1"/>
      <c r="T9" s="1"/>
      <c r="U9" s="1"/>
      <c r="V9" s="1"/>
      <c r="W9" s="1"/>
      <c r="X9" s="1"/>
      <c r="Y9" s="1"/>
      <c r="Z9" s="1"/>
    </row>
    <row r="10" ht="14.25" customHeight="1">
      <c r="A10" s="24"/>
      <c r="B10" s="25"/>
      <c r="C10" s="25"/>
      <c r="D10" s="25"/>
      <c r="E10" s="25"/>
      <c r="F10" s="25"/>
      <c r="G10" s="25"/>
      <c r="H10" s="25"/>
      <c r="I10" s="25"/>
      <c r="J10" s="25"/>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26" t="s">
        <v>230</v>
      </c>
      <c r="B12" s="4"/>
      <c r="C12" s="4"/>
      <c r="D12" s="4"/>
      <c r="E12" s="4"/>
      <c r="F12" s="4"/>
      <c r="G12" s="4"/>
      <c r="H12" s="4"/>
      <c r="I12" s="4"/>
      <c r="J12" s="5"/>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26" t="s">
        <v>231</v>
      </c>
      <c r="B14" s="4"/>
      <c r="C14" s="4"/>
      <c r="D14" s="4"/>
      <c r="E14" s="4"/>
      <c r="F14" s="4"/>
      <c r="G14" s="4"/>
      <c r="H14" s="4"/>
      <c r="I14" s="4"/>
      <c r="J14" s="5"/>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D1:H1"/>
    <mergeCell ref="A4:J4"/>
    <mergeCell ref="A12:J12"/>
    <mergeCell ref="A14:J14"/>
  </mergeCells>
  <hyperlinks>
    <hyperlink r:id="rId1" location="is_advertising=true&amp;searchVariation=MCO44785716&amp;backend_model=search-backend&amp;position=1&amp;search_layout=grid&amp;type=pad&amp;tracking_id=f4c9555f-f538-4161-afa7-f832ecac5076&amp;ad_domain=VQCATCORE_LST&amp;ad_position=1&amp;ad_click_id=ODNlM2RjZGYtN2Q1Zi00ZTEzLTkwMTctYTI0N2JkOTI3YmNk" ref="C7"/>
    <hyperlink r:id="rId2" ref="C8"/>
    <hyperlink r:id="rId3" ref="C9"/>
  </hyperlinks>
  <printOptions/>
  <pageMargins bottom="0.75" footer="0.0" header="0.0" left="0.7" right="0.7" top="0.75"/>
  <pageSetup paperSize="9" orientation="portrait"/>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22.13"/>
    <col customWidth="1" min="3" max="3" width="46.75"/>
    <col customWidth="1" min="4" max="4" width="23.88"/>
    <col customWidth="1" min="5" max="5" width="24.75"/>
    <col customWidth="1" min="6" max="6" width="73.38"/>
  </cols>
  <sheetData>
    <row r="2">
      <c r="A2" s="54" t="s">
        <v>232</v>
      </c>
    </row>
    <row r="4">
      <c r="A4" s="55" t="s">
        <v>233</v>
      </c>
      <c r="B4" s="55" t="s">
        <v>234</v>
      </c>
      <c r="C4" s="55" t="s">
        <v>235</v>
      </c>
      <c r="D4" s="56" t="s">
        <v>236</v>
      </c>
      <c r="E4" s="55" t="s">
        <v>237</v>
      </c>
      <c r="F4" s="55" t="s">
        <v>238</v>
      </c>
    </row>
    <row r="5">
      <c r="A5" s="57" t="s">
        <v>239</v>
      </c>
      <c r="B5" s="57" t="s">
        <v>26</v>
      </c>
      <c r="C5" s="57" t="s">
        <v>28</v>
      </c>
      <c r="D5" s="58">
        <v>345100.0</v>
      </c>
      <c r="E5" s="58">
        <v>290000.0</v>
      </c>
      <c r="F5" s="59" t="s">
        <v>240</v>
      </c>
    </row>
    <row r="6">
      <c r="A6" s="57" t="s">
        <v>241</v>
      </c>
      <c r="B6" s="57" t="s">
        <v>13</v>
      </c>
      <c r="C6" s="57" t="s">
        <v>242</v>
      </c>
      <c r="D6" s="58">
        <v>357000.0</v>
      </c>
      <c r="E6" s="58">
        <v>300000.0</v>
      </c>
      <c r="F6" s="57" t="s">
        <v>243</v>
      </c>
    </row>
    <row r="7">
      <c r="A7" s="57" t="s">
        <v>244</v>
      </c>
      <c r="B7" s="57" t="s">
        <v>13</v>
      </c>
      <c r="C7" s="57" t="s">
        <v>245</v>
      </c>
      <c r="D7" s="58">
        <v>238000.0</v>
      </c>
      <c r="E7" s="58">
        <v>200000.0</v>
      </c>
      <c r="F7" s="59" t="s">
        <v>246</v>
      </c>
    </row>
    <row r="8">
      <c r="A8" s="57" t="s">
        <v>247</v>
      </c>
      <c r="B8" s="59" t="s">
        <v>26</v>
      </c>
      <c r="C8" s="59" t="s">
        <v>94</v>
      </c>
      <c r="D8" s="60">
        <v>202300.0</v>
      </c>
      <c r="E8" s="60">
        <v>170000.0</v>
      </c>
      <c r="F8" s="59" t="s">
        <v>248</v>
      </c>
    </row>
    <row r="9">
      <c r="A9" s="57" t="s">
        <v>249</v>
      </c>
      <c r="B9" s="57" t="s">
        <v>45</v>
      </c>
      <c r="C9" s="57" t="s">
        <v>250</v>
      </c>
      <c r="D9" s="58">
        <v>238000.0</v>
      </c>
      <c r="E9" s="60">
        <v>200000.0</v>
      </c>
      <c r="F9" s="57" t="s">
        <v>251</v>
      </c>
    </row>
    <row r="10">
      <c r="A10" s="57" t="s">
        <v>252</v>
      </c>
      <c r="B10" s="57" t="s">
        <v>26</v>
      </c>
      <c r="C10" s="57" t="s">
        <v>253</v>
      </c>
      <c r="D10" s="58">
        <v>642000.0</v>
      </c>
      <c r="E10" s="58">
        <v>490000.0</v>
      </c>
      <c r="F10" s="59" t="s">
        <v>254</v>
      </c>
    </row>
    <row r="11">
      <c r="A11" s="57" t="s">
        <v>255</v>
      </c>
      <c r="B11" s="57" t="s">
        <v>13</v>
      </c>
      <c r="C11" s="57" t="s">
        <v>164</v>
      </c>
      <c r="D11" s="58">
        <v>23800.0</v>
      </c>
      <c r="E11" s="58">
        <v>20000.0</v>
      </c>
      <c r="F11" s="57" t="s">
        <v>256</v>
      </c>
    </row>
    <row r="12">
      <c r="A12" s="57" t="s">
        <v>257</v>
      </c>
      <c r="B12" s="57" t="s">
        <v>13</v>
      </c>
      <c r="C12" s="57" t="s">
        <v>258</v>
      </c>
      <c r="D12" s="58">
        <v>330820.0</v>
      </c>
      <c r="E12" s="58">
        <v>278000.0</v>
      </c>
      <c r="F12" s="57" t="s">
        <v>259</v>
      </c>
    </row>
    <row r="13">
      <c r="A13" s="57" t="s">
        <v>260</v>
      </c>
      <c r="B13" s="57" t="s">
        <v>188</v>
      </c>
      <c r="C13" s="57" t="s">
        <v>183</v>
      </c>
      <c r="D13" s="58">
        <v>42011.0</v>
      </c>
      <c r="E13" s="58">
        <v>35000.0</v>
      </c>
      <c r="F13" s="59" t="s">
        <v>261</v>
      </c>
    </row>
    <row r="14">
      <c r="A14" s="57" t="s">
        <v>262</v>
      </c>
      <c r="B14" s="57" t="s">
        <v>203</v>
      </c>
      <c r="C14" s="57" t="s">
        <v>205</v>
      </c>
      <c r="D14" s="58">
        <v>41615.0</v>
      </c>
      <c r="E14" s="58">
        <v>34971.0</v>
      </c>
      <c r="F14" s="59" t="s">
        <v>263</v>
      </c>
    </row>
    <row r="15">
      <c r="A15" s="57" t="s">
        <v>264</v>
      </c>
      <c r="B15" s="57" t="s">
        <v>219</v>
      </c>
      <c r="C15" s="57" t="s">
        <v>265</v>
      </c>
      <c r="D15" s="58">
        <v>112930.0</v>
      </c>
      <c r="E15" s="58">
        <v>94899.0</v>
      </c>
      <c r="F15" s="59" t="s">
        <v>266</v>
      </c>
    </row>
    <row r="17">
      <c r="A17" s="61" t="s">
        <v>267</v>
      </c>
      <c r="B17" s="5"/>
    </row>
    <row r="18">
      <c r="A18" s="62">
        <f>SUM(D5:D15)</f>
        <v>2573576</v>
      </c>
      <c r="B18" s="5"/>
    </row>
  </sheetData>
  <mergeCells count="3">
    <mergeCell ref="A2:F2"/>
    <mergeCell ref="A17:B17"/>
    <mergeCell ref="A18:B18"/>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2025-11-21T12:14:51Z</dcterms:created>
  <dc:creator>Patricia  Ojeda</dc:creator>
</cp:coreProperties>
</file>